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2ework\Downloads\"/>
    </mc:Choice>
  </mc:AlternateContent>
  <xr:revisionPtr revIDLastSave="0" documentId="11_07E71CEB4CC5773039300BA07337BD199A9C51DE" xr6:coauthVersionLast="47" xr6:coauthVersionMax="47" xr10:uidLastSave="{00000000-0000-0000-0000-000000000000}"/>
  <bookViews>
    <workbookView xWindow="3510" yWindow="1650" windowWidth="24270" windowHeight="14550" tabRatio="500" activeTab="5" xr2:uid="{00000000-000D-0000-FFFF-FFFF00000000}"/>
  </bookViews>
  <sheets>
    <sheet name="00_README" sheetId="1" r:id="rId1"/>
    <sheet name="01_C_죄명" sheetId="2" r:id="rId2"/>
    <sheet name="02_F_요증사실" sheetId="3" r:id="rId3"/>
    <sheet name="03_E_증거항목" sheetId="4" r:id="rId4"/>
    <sheet name="04_A_수집행위" sheetId="5" r:id="rId5"/>
    <sheet name="05_MAP_F-E-A" sheetId="6" r:id="rId6"/>
    <sheet name="06_P_패턴" sheetId="7" r:id="rId7"/>
    <sheet name="07_TAG_태그체계" sheetId="8" r:id="rId8"/>
    <sheet name="08_G_게이트" sheetId="9" r:id="rId9"/>
    <sheet name="09_R_규칙" sheetId="10" r:id="rId10"/>
  </sheets>
  <definedNames>
    <definedName name="_xlnm._FilterDatabase" localSheetId="1" hidden="1">'01_C_죄명'!$A$1:$L$20</definedName>
    <definedName name="_xlnm._FilterDatabase" localSheetId="2" hidden="1">'02_F_요증사실'!$A$1:$G$51</definedName>
    <definedName name="_xlnm._FilterDatabase" localSheetId="3" hidden="1">'03_E_증거항목'!$A$1:$G$57</definedName>
    <definedName name="_xlnm._FilterDatabase" localSheetId="4" hidden="1">'04_A_수집행위'!$A$1:$G$17</definedName>
    <definedName name="_xlnm._FilterDatabase" localSheetId="5" hidden="1">'05_MAP_F-E-A'!$A$1:$I$129</definedName>
    <definedName name="_xlnm._FilterDatabase" localSheetId="6" hidden="1">'06_P_패턴'!$A$1:$O$16</definedName>
    <definedName name="_xlnm._FilterDatabase" localSheetId="7" hidden="1">'07_TAG_태그체계'!$A$1:$D$48</definedName>
    <definedName name="_xlnm._FilterDatabase" localSheetId="8" hidden="1">'08_G_게이트'!$A$1:$F$5</definedName>
    <definedName name="_xlnm._FilterDatabase" localSheetId="9" hidden="1">'09_R_규칙'!$A$1:$E$23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1" i="3" l="1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<sst xmlns="http://schemas.openxmlformats.org/spreadsheetml/2006/main" count="2630" uniqueCount="989">
  <si>
    <t>관세범죄 지식 레지스트리 — 시스템 적재용 마스터</t>
  </si>
  <si>
    <t>작성 기준일</t>
  </si>
  <si>
    <r>
      <rPr>
        <sz val="10"/>
        <color rgb="FF000000"/>
        <rFont val="맑은 고딕"/>
        <family val="3"/>
        <charset val="129"/>
      </rPr>
      <t xml:space="preserve">2026-08-07 / </t>
    </r>
    <r>
      <rPr>
        <sz val="10"/>
        <color rgb="FF000000"/>
        <rFont val="Noto Sans CJK SC"/>
        <family val="2"/>
      </rPr>
      <t xml:space="preserve">초안 </t>
    </r>
    <r>
      <rPr>
        <sz val="10"/>
        <color rgb="FF000000"/>
        <rFont val="맑은 고딕"/>
        <family val="3"/>
        <charset val="129"/>
      </rPr>
      <t>v0.1</t>
    </r>
  </si>
  <si>
    <t>용도</t>
  </si>
  <si>
    <r>
      <rPr>
        <sz val="10"/>
        <color rgb="FF000000"/>
        <rFont val="Noto Sans CJK SC"/>
        <family val="2"/>
      </rPr>
      <t xml:space="preserve">포털 「범죄유형 지식화 </t>
    </r>
    <r>
      <rPr>
        <sz val="10"/>
        <color rgb="FF000000"/>
        <rFont val="맑은 고딕"/>
        <family val="3"/>
        <charset val="129"/>
      </rPr>
      <t xml:space="preserve">+ </t>
    </r>
    <r>
      <rPr>
        <sz val="10"/>
        <color rgb="FF000000"/>
        <rFont val="Noto Sans CJK SC"/>
        <family val="2"/>
      </rPr>
      <t>증거수집 가이드」 기능의 기준 마스터 데이터</t>
    </r>
  </si>
  <si>
    <t>시트</t>
  </si>
  <si>
    <t>내용</t>
  </si>
  <si>
    <t>행 수</t>
  </si>
  <si>
    <t>적재 순서</t>
  </si>
  <si>
    <r>
      <rPr>
        <sz val="10"/>
        <color rgb="FF000000"/>
        <rFont val="맑은 고딕"/>
        <family val="3"/>
        <charset val="129"/>
      </rPr>
      <t>01_C_</t>
    </r>
    <r>
      <rPr>
        <sz val="10"/>
        <color rgb="FF000000"/>
        <rFont val="Noto Sans CJK SC"/>
        <family val="2"/>
      </rPr>
      <t>죄명</t>
    </r>
  </si>
  <si>
    <r>
      <rPr>
        <sz val="10"/>
        <color rgb="FF000000"/>
        <rFont val="Noto Sans CJK SC"/>
        <family val="2"/>
      </rPr>
      <t>죄명 마스터 — 근거조문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행위태양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가중근거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소추조건</t>
    </r>
  </si>
  <si>
    <t>1</t>
  </si>
  <si>
    <r>
      <rPr>
        <sz val="10"/>
        <color rgb="FF000000"/>
        <rFont val="맑은 고딕"/>
        <family val="3"/>
        <charset val="129"/>
      </rPr>
      <t>02_F_</t>
    </r>
    <r>
      <rPr>
        <sz val="10"/>
        <color rgb="FF000000"/>
        <rFont val="Noto Sans CJK SC"/>
        <family val="2"/>
      </rPr>
      <t>요증사실</t>
    </r>
  </si>
  <si>
    <r>
      <rPr>
        <sz val="10"/>
        <color rgb="FF000000"/>
        <rFont val="Noto Sans CJK SC"/>
        <family val="2"/>
      </rPr>
      <t xml:space="preserve">요증사실 마스터 — 죄명별 </t>
    </r>
    <r>
      <rPr>
        <sz val="10"/>
        <color rgb="FF000000"/>
        <rFont val="맑은 고딕"/>
        <family val="3"/>
        <charset val="129"/>
      </rPr>
      <t>3</t>
    </r>
    <r>
      <rPr>
        <sz val="10"/>
        <color rgb="FF000000"/>
        <rFont val="Noto Sans CJK SC"/>
        <family val="2"/>
      </rPr>
      <t>계층</t>
    </r>
    <r>
      <rPr>
        <sz val="10"/>
        <color rgb="FF000000"/>
        <rFont val="맑은 고딕"/>
        <family val="3"/>
        <charset val="129"/>
      </rPr>
      <t xml:space="preserve">(F-O </t>
    </r>
    <r>
      <rPr>
        <sz val="10"/>
        <color rgb="FF000000"/>
        <rFont val="Noto Sans CJK SC"/>
        <family val="2"/>
      </rPr>
      <t xml:space="preserve">객관 </t>
    </r>
    <r>
      <rPr>
        <sz val="10"/>
        <color rgb="FF000000"/>
        <rFont val="맑은 고딕"/>
        <family val="3"/>
        <charset val="129"/>
      </rPr>
      <t xml:space="preserve">/ F-S </t>
    </r>
    <r>
      <rPr>
        <sz val="10"/>
        <color rgb="FF000000"/>
        <rFont val="Noto Sans CJK SC"/>
        <family val="2"/>
      </rPr>
      <t xml:space="preserve">주관 </t>
    </r>
    <r>
      <rPr>
        <sz val="10"/>
        <color rgb="FF000000"/>
        <rFont val="맑은 고딕"/>
        <family val="3"/>
        <charset val="129"/>
      </rPr>
      <t xml:space="preserve">/ F-P </t>
    </r>
    <r>
      <rPr>
        <sz val="10"/>
        <color rgb="FF000000"/>
        <rFont val="Noto Sans CJK SC"/>
        <family val="2"/>
      </rPr>
      <t>절차</t>
    </r>
    <r>
      <rPr>
        <sz val="10"/>
        <color rgb="FF000000"/>
        <rFont val="맑은 고딕"/>
        <family val="3"/>
        <charset val="129"/>
      </rPr>
      <t xml:space="preserve">) </t>
    </r>
    <r>
      <rPr>
        <sz val="10"/>
        <color rgb="FF000000"/>
        <rFont val="Noto Sans CJK SC"/>
        <family val="2"/>
      </rPr>
      <t>분해</t>
    </r>
  </si>
  <si>
    <t>2</t>
  </si>
  <si>
    <r>
      <rPr>
        <sz val="10"/>
        <color rgb="FF000000"/>
        <rFont val="맑은 고딕"/>
        <family val="3"/>
        <charset val="129"/>
      </rPr>
      <t>03_E_</t>
    </r>
    <r>
      <rPr>
        <sz val="10"/>
        <color rgb="FF000000"/>
        <rFont val="Noto Sans CJK SC"/>
        <family val="2"/>
      </rPr>
      <t>증거항목</t>
    </r>
  </si>
  <si>
    <r>
      <rPr>
        <sz val="10"/>
        <color rgb="FF000000"/>
        <rFont val="Noto Sans CJK SC"/>
        <family val="2"/>
      </rPr>
      <t>증거항목 마스터 — 보유주체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휘발성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기본 게이트</t>
    </r>
  </si>
  <si>
    <t>3</t>
  </si>
  <si>
    <r>
      <rPr>
        <sz val="10"/>
        <color rgb="FF000000"/>
        <rFont val="맑은 고딕"/>
        <family val="3"/>
        <charset val="129"/>
      </rPr>
      <t>04_A_</t>
    </r>
    <r>
      <rPr>
        <sz val="10"/>
        <color rgb="FF000000"/>
        <rFont val="Noto Sans CJK SC"/>
        <family val="2"/>
      </rPr>
      <t>수집행위</t>
    </r>
  </si>
  <si>
    <r>
      <rPr>
        <sz val="10"/>
        <color rgb="FF000000"/>
        <rFont val="Noto Sans CJK SC"/>
        <family val="2"/>
      </rPr>
      <t>수집행위 마스터 — 근거법령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게이트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산출물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소요기간</t>
    </r>
  </si>
  <si>
    <t>4</t>
  </si>
  <si>
    <t>05_MAP_F-E-A</t>
  </si>
  <si>
    <r>
      <rPr>
        <sz val="10"/>
        <color rgb="FF000000"/>
        <rFont val="Noto Sans CJK SC"/>
        <family val="2"/>
      </rPr>
      <t xml:space="preserve">핵심 매핑 — </t>
    </r>
    <r>
      <rPr>
        <sz val="10"/>
        <color rgb="FF000000"/>
        <rFont val="맑은 고딕"/>
        <family val="3"/>
        <charset val="129"/>
      </rPr>
      <t>F</t>
    </r>
    <r>
      <rPr>
        <sz val="10"/>
        <color rgb="FF000000"/>
        <rFont val="Noto Sans CJK SC"/>
        <family val="2"/>
      </rPr>
      <t>를 키로 증거항목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수집행위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게이트를 연결</t>
    </r>
  </si>
  <si>
    <t>5</t>
  </si>
  <si>
    <r>
      <rPr>
        <sz val="10"/>
        <color rgb="FF000000"/>
        <rFont val="맑은 고딕"/>
        <family val="3"/>
        <charset val="129"/>
      </rPr>
      <t>06_P_</t>
    </r>
    <r>
      <rPr>
        <sz val="10"/>
        <color rgb="FF000000"/>
        <rFont val="Noto Sans CJK SC"/>
        <family val="2"/>
      </rPr>
      <t>패턴</t>
    </r>
  </si>
  <si>
    <r>
      <rPr>
        <sz val="10"/>
        <color rgb="FF000000"/>
        <rFont val="Noto Sans CJK SC"/>
        <family val="2"/>
      </rPr>
      <t>수법 패턴 카탈로그 — 앵커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조건절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반증조건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실행구분</t>
    </r>
  </si>
  <si>
    <t>6</t>
  </si>
  <si>
    <r>
      <rPr>
        <sz val="10"/>
        <color rgb="FF000000"/>
        <rFont val="맑은 고딕"/>
        <family val="3"/>
        <charset val="129"/>
      </rPr>
      <t>07_TAG_</t>
    </r>
    <r>
      <rPr>
        <sz val="10"/>
        <color rgb="FF000000"/>
        <rFont val="Noto Sans CJK SC"/>
        <family val="2"/>
      </rPr>
      <t>태그체계</t>
    </r>
  </si>
  <si>
    <r>
      <rPr>
        <sz val="10"/>
        <color rgb="FF000000"/>
        <rFont val="Noto Sans CJK SC"/>
        <family val="2"/>
      </rPr>
      <t>다면 태그 — 구조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앵커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축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게이트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업종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채널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휘발성</t>
    </r>
    <r>
      <rPr>
        <sz val="10"/>
        <color rgb="FF000000"/>
        <rFont val="맑은 고딕"/>
        <family val="3"/>
        <charset val="129"/>
      </rPr>
      <t>/</t>
    </r>
    <r>
      <rPr>
        <sz val="10"/>
        <color rgb="FF000000"/>
        <rFont val="Noto Sans CJK SC"/>
        <family val="2"/>
      </rPr>
      <t>상태</t>
    </r>
  </si>
  <si>
    <r>
      <rPr>
        <sz val="10"/>
        <color rgb="FF000000"/>
        <rFont val="맑은 고딕"/>
        <family val="3"/>
        <charset val="129"/>
      </rPr>
      <t>08_G_</t>
    </r>
    <r>
      <rPr>
        <sz val="10"/>
        <color rgb="FF000000"/>
        <rFont val="Noto Sans CJK SC"/>
        <family val="2"/>
      </rPr>
      <t>게이트</t>
    </r>
  </si>
  <si>
    <r>
      <rPr>
        <sz val="10"/>
        <color rgb="FF000000"/>
        <rFont val="Noto Sans CJK SC"/>
        <family val="2"/>
      </rPr>
      <t xml:space="preserve">권한 게이트 정의 — </t>
    </r>
    <r>
      <rPr>
        <sz val="10"/>
        <color rgb="FF000000"/>
        <rFont val="맑은 고딕"/>
        <family val="3"/>
        <charset val="129"/>
      </rPr>
      <t>G1~G4</t>
    </r>
  </si>
  <si>
    <r>
      <rPr>
        <sz val="10"/>
        <color rgb="FF000000"/>
        <rFont val="맑은 고딕"/>
        <family val="3"/>
        <charset val="129"/>
      </rPr>
      <t>09_R_</t>
    </r>
    <r>
      <rPr>
        <sz val="10"/>
        <color rgb="FF000000"/>
        <rFont val="Noto Sans CJK SC"/>
        <family val="2"/>
      </rPr>
      <t>규칙</t>
    </r>
  </si>
  <si>
    <r>
      <rPr>
        <sz val="10"/>
        <color rgb="FF000000"/>
        <rFont val="Noto Sans CJK SC"/>
        <family val="2"/>
      </rPr>
      <t>운영 규칙 — 패턴</t>
    </r>
    <r>
      <rPr>
        <sz val="10"/>
        <color rgb="FF000000"/>
        <rFont val="맑은 고딕"/>
        <family val="3"/>
        <charset val="129"/>
      </rPr>
      <t xml:space="preserve">(R1~R10) / </t>
    </r>
    <r>
      <rPr>
        <sz val="10"/>
        <color rgb="FF000000"/>
        <rFont val="Noto Sans CJK SC"/>
        <family val="2"/>
      </rPr>
      <t>죄명</t>
    </r>
    <r>
      <rPr>
        <sz val="10"/>
        <color rgb="FF000000"/>
        <rFont val="맑은 고딕"/>
        <family val="3"/>
        <charset val="129"/>
      </rPr>
      <t xml:space="preserve">(R-C) / </t>
    </r>
    <r>
      <rPr>
        <sz val="10"/>
        <color rgb="FF000000"/>
        <rFont val="Noto Sans CJK SC"/>
        <family val="2"/>
      </rPr>
      <t>증거</t>
    </r>
    <r>
      <rPr>
        <sz val="10"/>
        <color rgb="FF000000"/>
        <rFont val="맑은 고딕"/>
        <family val="3"/>
        <charset val="129"/>
      </rPr>
      <t>(R-E)</t>
    </r>
  </si>
  <si>
    <t>7</t>
  </si>
  <si>
    <t>코드 체계</t>
  </si>
  <si>
    <r>
      <rPr>
        <sz val="10"/>
        <color rgb="FF000000"/>
        <rFont val="맑은 고딕"/>
        <family val="3"/>
        <charset val="129"/>
      </rPr>
      <t>C-{</t>
    </r>
    <r>
      <rPr>
        <sz val="10"/>
        <color rgb="FF000000"/>
        <rFont val="Noto Sans CJK SC"/>
        <family val="2"/>
      </rPr>
      <t>대분류</t>
    </r>
    <r>
      <rPr>
        <sz val="10"/>
        <color rgb="FF000000"/>
        <rFont val="맑은 고딕"/>
        <family val="3"/>
        <charset val="129"/>
      </rPr>
      <t>2}{</t>
    </r>
    <r>
      <rPr>
        <sz val="10"/>
        <color rgb="FF000000"/>
        <rFont val="Noto Sans CJK SC"/>
        <family val="2"/>
      </rPr>
      <t>일련</t>
    </r>
    <r>
      <rPr>
        <sz val="10"/>
        <color rgb="FF000000"/>
        <rFont val="맑은 고딕"/>
        <family val="3"/>
        <charset val="129"/>
      </rPr>
      <t>2}</t>
    </r>
  </si>
  <si>
    <r>
      <rPr>
        <sz val="10"/>
        <color rgb="FF000000"/>
        <rFont val="Noto Sans CJK SC"/>
        <family val="2"/>
      </rPr>
      <t xml:space="preserve">죄명 — 법령 개정 시에만 변경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고정 자산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</si>
  <si>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F-{</t>
    </r>
    <r>
      <rPr>
        <sz val="10"/>
        <color rgb="FF000000"/>
        <rFont val="Noto Sans CJK SC"/>
        <family val="2"/>
      </rPr>
      <t>죄명</t>
    </r>
    <r>
      <rPr>
        <sz val="10"/>
        <color rgb="FF000000"/>
        <rFont val="맑은 고딕"/>
        <family val="3"/>
        <charset val="129"/>
      </rPr>
      <t>}-{</t>
    </r>
    <r>
      <rPr>
        <sz val="10"/>
        <color rgb="FF000000"/>
        <rFont val="Noto Sans CJK SC"/>
        <family val="2"/>
      </rPr>
      <t>일련</t>
    </r>
    <r>
      <rPr>
        <sz val="10"/>
        <color rgb="FF000000"/>
        <rFont val="맑은 고딕"/>
        <family val="3"/>
        <charset val="129"/>
      </rPr>
      <t>2}</t>
    </r>
  </si>
  <si>
    <r>
      <rPr>
        <sz val="10"/>
        <color rgb="FF000000"/>
        <rFont val="Noto Sans CJK SC"/>
        <family val="2"/>
      </rPr>
      <t xml:space="preserve">요증사실 — 구성요건에서 도출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고정 자산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</si>
  <si>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E-{</t>
    </r>
    <r>
      <rPr>
        <sz val="10"/>
        <color rgb="FF000000"/>
        <rFont val="Noto Sans CJK SC"/>
        <family val="2"/>
      </rPr>
      <t>일련</t>
    </r>
    <r>
      <rPr>
        <sz val="10"/>
        <color rgb="FF000000"/>
        <rFont val="맑은 고딕"/>
        <family val="3"/>
        <charset val="129"/>
      </rPr>
      <t>3}</t>
    </r>
  </si>
  <si>
    <r>
      <rPr>
        <sz val="10"/>
        <color rgb="FF000000"/>
        <rFont val="Noto Sans CJK SC"/>
        <family val="2"/>
      </rPr>
      <t xml:space="preserve">증거항목 — 죄명에 종속시키지 않음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공용 자산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</si>
  <si>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A-{</t>
    </r>
    <r>
      <rPr>
        <sz val="10"/>
        <color rgb="FF000000"/>
        <rFont val="Noto Sans CJK SC"/>
        <family val="2"/>
      </rPr>
      <t>일련</t>
    </r>
    <r>
      <rPr>
        <sz val="10"/>
        <color rgb="FF000000"/>
        <rFont val="맑은 고딕"/>
        <family val="3"/>
        <charset val="129"/>
      </rPr>
      <t>2}</t>
    </r>
  </si>
  <si>
    <r>
      <rPr>
        <sz val="10"/>
        <color rgb="FF000000"/>
        <rFont val="Noto Sans CJK SC"/>
        <family val="2"/>
      </rPr>
      <t xml:space="preserve">수집행위 — 죄명에 종속시키지 않음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공용 자산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</si>
  <si>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P-{</t>
    </r>
    <r>
      <rPr>
        <sz val="10"/>
        <color rgb="FF000000"/>
        <rFont val="Noto Sans CJK SC"/>
        <family val="2"/>
      </rPr>
      <t>일련</t>
    </r>
    <r>
      <rPr>
        <sz val="10"/>
        <color rgb="FF000000"/>
        <rFont val="맑은 고딕"/>
        <family val="3"/>
        <charset val="129"/>
      </rPr>
      <t>3}.v{</t>
    </r>
    <r>
      <rPr>
        <sz val="10"/>
        <color rgb="FF000000"/>
        <rFont val="Noto Sans CJK SC"/>
        <family val="2"/>
      </rPr>
      <t>버전</t>
    </r>
    <r>
      <rPr>
        <sz val="10"/>
        <color rgb="FF000000"/>
        <rFont val="맑은 고딕"/>
        <family val="3"/>
        <charset val="129"/>
      </rPr>
      <t>}</t>
    </r>
  </si>
  <si>
    <r>
      <rPr>
        <sz val="10"/>
        <color rgb="FF000000"/>
        <rFont val="Noto Sans CJK SC"/>
        <family val="2"/>
      </rPr>
      <t>패턴 — 상시 등록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폐기 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Noto Sans CJK SC"/>
        <family val="2"/>
      </rPr>
      <t>증식 자산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</si>
  <si>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>M-{</t>
    </r>
    <r>
      <rPr>
        <sz val="10"/>
        <color rgb="FF000000"/>
        <rFont val="Noto Sans CJK SC"/>
        <family val="2"/>
      </rPr>
      <t>죄명</t>
    </r>
    <r>
      <rPr>
        <sz val="10"/>
        <color rgb="FF000000"/>
        <rFont val="맑은 고딕"/>
        <family val="3"/>
        <charset val="129"/>
      </rPr>
      <t>}-{</t>
    </r>
    <r>
      <rPr>
        <sz val="10"/>
        <color rgb="FF000000"/>
        <rFont val="Noto Sans CJK SC"/>
        <family val="2"/>
      </rPr>
      <t>일련</t>
    </r>
    <r>
      <rPr>
        <sz val="10"/>
        <color rgb="FF000000"/>
        <rFont val="맑은 고딕"/>
        <family val="3"/>
        <charset val="129"/>
      </rPr>
      <t>2}</t>
    </r>
  </si>
  <si>
    <t>수법 — 죄명과 패턴을 잇는 축</t>
  </si>
  <si>
    <t>연결 체인</t>
  </si>
  <si>
    <t>탐지 체인</t>
  </si>
  <si>
    <r>
      <rPr>
        <sz val="10"/>
        <color rgb="FF000000"/>
        <rFont val="맑은 고딕"/>
        <family val="3"/>
        <charset val="129"/>
      </rPr>
      <t xml:space="preserve">M </t>
    </r>
    <r>
      <rPr>
        <sz val="10"/>
        <color rgb="FF000000"/>
        <rFont val="Noto Sans CJK SC"/>
        <family val="2"/>
      </rPr>
      <t xml:space="preserve">수법 → </t>
    </r>
    <r>
      <rPr>
        <sz val="10"/>
        <color rgb="FF000000"/>
        <rFont val="맑은 고딕"/>
        <family val="3"/>
        <charset val="129"/>
      </rPr>
      <t xml:space="preserve">P </t>
    </r>
    <r>
      <rPr>
        <sz val="10"/>
        <color rgb="FF000000"/>
        <rFont val="Noto Sans CJK SC"/>
        <family val="2"/>
      </rPr>
      <t>패턴 → 피처</t>
    </r>
    <r>
      <rPr>
        <sz val="10"/>
        <color rgb="FF000000"/>
        <rFont val="맑은 고딕"/>
        <family val="3"/>
        <charset val="129"/>
      </rPr>
      <t xml:space="preserve">(A~D) → </t>
    </r>
    <r>
      <rPr>
        <sz val="10"/>
        <color rgb="FF000000"/>
        <rFont val="Noto Sans CJK SC"/>
        <family val="2"/>
      </rPr>
      <t>적중</t>
    </r>
  </si>
  <si>
    <t>입증 체인</t>
  </si>
  <si>
    <r>
      <rPr>
        <sz val="10"/>
        <color rgb="FF000000"/>
        <rFont val="맑은 고딕"/>
        <family val="3"/>
        <charset val="129"/>
      </rPr>
      <t xml:space="preserve">C </t>
    </r>
    <r>
      <rPr>
        <sz val="10"/>
        <color rgb="FF000000"/>
        <rFont val="Noto Sans CJK SC"/>
        <family val="2"/>
      </rPr>
      <t xml:space="preserve">죄명 → </t>
    </r>
    <r>
      <rPr>
        <sz val="10"/>
        <color rgb="FF000000"/>
        <rFont val="맑은 고딕"/>
        <family val="3"/>
        <charset val="129"/>
      </rPr>
      <t xml:space="preserve">F </t>
    </r>
    <r>
      <rPr>
        <sz val="10"/>
        <color rgb="FF000000"/>
        <rFont val="Noto Sans CJK SC"/>
        <family val="2"/>
      </rPr>
      <t xml:space="preserve">요증사실 → </t>
    </r>
    <r>
      <rPr>
        <sz val="10"/>
        <color rgb="FF000000"/>
        <rFont val="맑은 고딕"/>
        <family val="3"/>
        <charset val="129"/>
      </rPr>
      <t xml:space="preserve">E </t>
    </r>
    <r>
      <rPr>
        <sz val="10"/>
        <color rgb="FF000000"/>
        <rFont val="Noto Sans CJK SC"/>
        <family val="2"/>
      </rPr>
      <t xml:space="preserve">증거 → </t>
    </r>
    <r>
      <rPr>
        <sz val="10"/>
        <color rgb="FF000000"/>
        <rFont val="맑은 고딕"/>
        <family val="3"/>
        <charset val="129"/>
      </rPr>
      <t xml:space="preserve">A </t>
    </r>
    <r>
      <rPr>
        <sz val="10"/>
        <color rgb="FF000000"/>
        <rFont val="Noto Sans CJK SC"/>
        <family val="2"/>
      </rPr>
      <t>수집행위</t>
    </r>
    <r>
      <rPr>
        <sz val="10"/>
        <color rgb="FF000000"/>
        <rFont val="맑은 고딕"/>
        <family val="3"/>
        <charset val="129"/>
      </rPr>
      <t xml:space="preserve">(+G </t>
    </r>
    <r>
      <rPr>
        <sz val="10"/>
        <color rgb="FF000000"/>
        <rFont val="Noto Sans CJK SC"/>
        <family val="2"/>
      </rPr>
      <t>게이트</t>
    </r>
    <r>
      <rPr>
        <sz val="10"/>
        <color rgb="FF000000"/>
        <rFont val="맑은 고딕"/>
        <family val="3"/>
        <charset val="129"/>
      </rPr>
      <t>)</t>
    </r>
  </si>
  <si>
    <t>접합점</t>
  </si>
  <si>
    <r>
      <rPr>
        <sz val="10"/>
        <color rgb="FF000000"/>
        <rFont val="Noto Sans CJK SC"/>
        <family val="2"/>
      </rPr>
      <t xml:space="preserve">두 체인은 </t>
    </r>
    <r>
      <rPr>
        <sz val="10"/>
        <color rgb="FF000000"/>
        <rFont val="맑은 고딕"/>
        <family val="3"/>
        <charset val="129"/>
      </rPr>
      <t xml:space="preserve">M ↔ C </t>
    </r>
    <r>
      <rPr>
        <sz val="10"/>
        <color rgb="FF000000"/>
        <rFont val="Noto Sans CJK SC"/>
        <family val="2"/>
      </rPr>
      <t xml:space="preserve">지점에서만 만남 → </t>
    </r>
    <r>
      <rPr>
        <sz val="10"/>
        <color rgb="FF000000"/>
        <rFont val="맑은 고딕"/>
        <family val="3"/>
        <charset val="129"/>
      </rPr>
      <t>06_P_</t>
    </r>
    <r>
      <rPr>
        <sz val="10"/>
        <color rgb="FF000000"/>
        <rFont val="Noto Sans CJK SC"/>
        <family val="2"/>
      </rPr>
      <t xml:space="preserve">패턴의 「연결 </t>
    </r>
    <r>
      <rPr>
        <sz val="10"/>
        <color rgb="FF000000"/>
        <rFont val="맑은 고딕"/>
        <family val="3"/>
        <charset val="129"/>
      </rPr>
      <t>C</t>
    </r>
    <r>
      <rPr>
        <sz val="10"/>
        <color rgb="FF000000"/>
        <rFont val="Noto Sans CJK SC"/>
        <family val="2"/>
      </rPr>
      <t>코드」가 접합 키</t>
    </r>
  </si>
  <si>
    <r>
      <rPr>
        <b/>
        <sz val="12"/>
        <color rgb="FF000000"/>
        <rFont val="Noto Sans CJK SC"/>
        <family val="2"/>
      </rPr>
      <t xml:space="preserve">미확정 항목 </t>
    </r>
    <r>
      <rPr>
        <b/>
        <sz val="12"/>
        <color rgb="FF000000"/>
        <rFont val="맑은 고딕"/>
        <family val="3"/>
        <charset val="129"/>
      </rPr>
      <t>(</t>
    </r>
    <r>
      <rPr>
        <b/>
        <sz val="12"/>
        <color rgb="FF000000"/>
        <rFont val="Noto Sans CJK SC"/>
        <family val="2"/>
      </rPr>
      <t>운영 전 법무 검토 필요</t>
    </r>
    <r>
      <rPr>
        <b/>
        <sz val="12"/>
        <color rgb="FF000000"/>
        <rFont val="맑은 고딕"/>
        <family val="3"/>
        <charset val="129"/>
      </rPr>
      <t>)</t>
    </r>
  </si>
  <si>
    <r>
      <rPr>
        <sz val="10"/>
        <color rgb="FF000000"/>
        <rFont val="Noto Sans CJK SC"/>
        <family val="2"/>
      </rPr>
      <t>특가법 제</t>
    </r>
    <r>
      <rPr>
        <sz val="10"/>
        <color rgb="FF000000"/>
        <rFont val="맑은 고딕"/>
        <family val="3"/>
        <charset val="129"/>
      </rPr>
      <t>6</t>
    </r>
    <r>
      <rPr>
        <sz val="10"/>
        <color rgb="FF000000"/>
        <rFont val="Noto Sans CJK SC"/>
        <family val="2"/>
      </rPr>
      <t>조의 항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호별 대응관계와 기준액 — 죄명별로 현행 조문 확인 필요</t>
    </r>
  </si>
  <si>
    <r>
      <rPr>
        <sz val="10"/>
        <color rgb="FF000000"/>
        <rFont val="Noto Sans CJK SC"/>
        <family val="2"/>
      </rPr>
      <t xml:space="preserve">특가법 적용 시 고발 요건 배제 범위 — </t>
    </r>
    <r>
      <rPr>
        <sz val="10"/>
        <color rgb="FF000000"/>
        <rFont val="맑은 고딕"/>
        <family val="3"/>
        <charset val="129"/>
      </rPr>
      <t>F-GEN-04</t>
    </r>
    <r>
      <rPr>
        <sz val="10"/>
        <color rgb="FF000000"/>
        <rFont val="Noto Sans CJK SC"/>
        <family val="2"/>
      </rPr>
      <t>의 죄명별 적용 여부가 갈림</t>
    </r>
  </si>
  <si>
    <r>
      <rPr>
        <sz val="10"/>
        <color rgb="FF000000"/>
        <rFont val="Noto Sans CJK SC"/>
        <family val="2"/>
      </rPr>
      <t>개별법</t>
    </r>
    <r>
      <rPr>
        <sz val="10"/>
        <color rgb="FF000000"/>
        <rFont val="맑은 고딕"/>
        <family val="3"/>
        <charset val="129"/>
      </rPr>
      <t xml:space="preserve">(C-51·C-52·C-61~63) </t>
    </r>
    <r>
      <rPr>
        <sz val="10"/>
        <color rgb="FF000000"/>
        <rFont val="Noto Sans CJK SC"/>
        <family val="2"/>
      </rPr>
      <t>죄명의 소관 부처 및 고발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고소 주체</t>
    </r>
  </si>
  <si>
    <r>
      <rPr>
        <sz val="10"/>
        <color rgb="FF000000"/>
        <rFont val="맑은 고딕"/>
        <family val="3"/>
        <charset val="129"/>
      </rPr>
      <t>01_C_</t>
    </r>
    <r>
      <rPr>
        <sz val="10"/>
        <color rgb="FF000000"/>
        <rFont val="Noto Sans CJK SC"/>
        <family val="2"/>
      </rPr>
      <t>죄명 중 「미전개</t>
    </r>
    <r>
      <rPr>
        <sz val="10"/>
        <color rgb="FF000000"/>
        <rFont val="맑은 고딕"/>
        <family val="3"/>
        <charset val="129"/>
      </rPr>
      <t>(2</t>
    </r>
    <r>
      <rPr>
        <sz val="10"/>
        <color rgb="FF000000"/>
        <rFont val="Noto Sans CJK SC"/>
        <family val="2"/>
      </rPr>
      <t>차</t>
    </r>
    <r>
      <rPr>
        <sz val="10"/>
        <color rgb="FF000000"/>
        <rFont val="맑은 고딕"/>
        <family val="3"/>
        <charset val="129"/>
      </rPr>
      <t>)</t>
    </r>
    <r>
      <rPr>
        <sz val="10"/>
        <color rgb="FF000000"/>
        <rFont val="Noto Sans CJK SC"/>
        <family val="2"/>
      </rPr>
      <t xml:space="preserve">」 </t>
    </r>
    <r>
      <rPr>
        <sz val="10"/>
        <color rgb="FF000000"/>
        <rFont val="맑은 고딕"/>
        <family val="3"/>
        <charset val="129"/>
      </rPr>
      <t>10</t>
    </r>
    <r>
      <rPr>
        <sz val="10"/>
        <color rgb="FF000000"/>
        <rFont val="Noto Sans CJK SC"/>
        <family val="2"/>
      </rPr>
      <t xml:space="preserve">건의 </t>
    </r>
    <r>
      <rPr>
        <sz val="10"/>
        <color rgb="FF000000"/>
        <rFont val="맑은 고딕"/>
        <family val="3"/>
        <charset val="129"/>
      </rPr>
      <t xml:space="preserve">F </t>
    </r>
    <r>
      <rPr>
        <sz val="10"/>
        <color rgb="FF000000"/>
        <rFont val="Noto Sans CJK SC"/>
        <family val="2"/>
      </rPr>
      <t>세트 작성</t>
    </r>
  </si>
  <si>
    <r>
      <rPr>
        <sz val="10"/>
        <color rgb="FF000000"/>
        <rFont val="맑은 고딕"/>
        <family val="3"/>
        <charset val="129"/>
      </rPr>
      <t>06_P_</t>
    </r>
    <r>
      <rPr>
        <sz val="10"/>
        <color rgb="FF000000"/>
        <rFont val="Noto Sans CJK SC"/>
        <family val="2"/>
      </rPr>
      <t xml:space="preserve">패턴 </t>
    </r>
    <r>
      <rPr>
        <sz val="10"/>
        <color rgb="FF000000"/>
        <rFont val="맑은 고딕"/>
        <family val="3"/>
        <charset val="129"/>
      </rPr>
      <t>15</t>
    </r>
    <r>
      <rPr>
        <sz val="10"/>
        <color rgb="FF000000"/>
        <rFont val="Noto Sans CJK SC"/>
        <family val="2"/>
      </rPr>
      <t xml:space="preserve">건 전부 반증조건 미작성 — </t>
    </r>
    <r>
      <rPr>
        <sz val="10"/>
        <color rgb="FF000000"/>
        <rFont val="맑은 고딕"/>
        <family val="3"/>
        <charset val="129"/>
      </rPr>
      <t>R4</t>
    </r>
    <r>
      <rPr>
        <sz val="10"/>
        <color rgb="FF000000"/>
        <rFont val="Noto Sans CJK SC"/>
        <family val="2"/>
      </rPr>
      <t>에 따라 현재 운영 승인 불가 상태</t>
    </r>
  </si>
  <si>
    <t>적재 시 유의</t>
  </si>
  <si>
    <r>
      <rPr>
        <sz val="10"/>
        <color rgb="FF000000"/>
        <rFont val="맑은 고딕"/>
        <family val="3"/>
        <charset val="129"/>
      </rPr>
      <t>05_MAP_F-E-A</t>
    </r>
    <r>
      <rPr>
        <sz val="10"/>
        <color rgb="FF000000"/>
        <rFont val="Noto Sans CJK SC"/>
        <family val="2"/>
      </rPr>
      <t>가 본체이며</t>
    </r>
    <r>
      <rPr>
        <sz val="10"/>
        <color rgb="FF000000"/>
        <rFont val="맑은 고딕"/>
        <family val="3"/>
        <charset val="129"/>
      </rPr>
      <t>, F</t>
    </r>
    <r>
      <rPr>
        <sz val="10"/>
        <color rgb="FF000000"/>
        <rFont val="Noto Sans CJK SC"/>
        <family val="2"/>
      </rPr>
      <t>코드</t>
    </r>
    <r>
      <rPr>
        <sz val="10"/>
        <color rgb="FF000000"/>
        <rFont val="맑은 고딕"/>
        <family val="3"/>
        <charset val="129"/>
      </rPr>
      <t>·E</t>
    </r>
    <r>
      <rPr>
        <sz val="10"/>
        <color rgb="FF000000"/>
        <rFont val="Noto Sans CJK SC"/>
        <family val="2"/>
      </rPr>
      <t>코드</t>
    </r>
    <r>
      <rPr>
        <sz val="10"/>
        <color rgb="FF000000"/>
        <rFont val="맑은 고딕"/>
        <family val="3"/>
        <charset val="129"/>
      </rPr>
      <t>·A</t>
    </r>
    <r>
      <rPr>
        <sz val="10"/>
        <color rgb="FF000000"/>
        <rFont val="Noto Sans CJK SC"/>
        <family val="2"/>
      </rPr>
      <t>코드는 각 마스터 시트의 외래키임</t>
    </r>
  </si>
  <si>
    <r>
      <rPr>
        <sz val="10"/>
        <color rgb="FF000000"/>
        <rFont val="Noto Sans CJK SC"/>
        <family val="2"/>
      </rPr>
      <t>필수구분 ◎는 해당 요증사실의 필수 증거</t>
    </r>
    <r>
      <rPr>
        <sz val="10"/>
        <color rgb="FF000000"/>
        <rFont val="맑은 고딕"/>
        <family val="3"/>
        <charset val="129"/>
      </rPr>
      <t>, ○</t>
    </r>
    <r>
      <rPr>
        <sz val="10"/>
        <color rgb="FF000000"/>
        <rFont val="Noto Sans CJK SC"/>
        <family val="2"/>
      </rPr>
      <t>는 방어 대비 보강 증거</t>
    </r>
  </si>
  <si>
    <r>
      <rPr>
        <sz val="10"/>
        <color rgb="FF000000"/>
        <rFont val="Noto Sans CJK SC"/>
        <family val="2"/>
      </rPr>
      <t>음영 처리된 행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 xml:space="preserve">셀은 미완성 또는 주의 항목 </t>
    </r>
    <r>
      <rPr>
        <sz val="10"/>
        <color rgb="FF000000"/>
        <rFont val="맑은 고딕"/>
        <family val="3"/>
        <charset val="129"/>
      </rPr>
      <t xml:space="preserve">(F-S </t>
    </r>
    <r>
      <rPr>
        <sz val="10"/>
        <color rgb="FF000000"/>
        <rFont val="Noto Sans CJK SC"/>
        <family val="2"/>
      </rPr>
      <t>계층</t>
    </r>
    <r>
      <rPr>
        <sz val="10"/>
        <color rgb="FF000000"/>
        <rFont val="맑은 고딕"/>
        <family val="3"/>
        <charset val="129"/>
      </rPr>
      <t xml:space="preserve">, G3·G4 </t>
    </r>
    <r>
      <rPr>
        <sz val="10"/>
        <color rgb="FF000000"/>
        <rFont val="Noto Sans CJK SC"/>
        <family val="2"/>
      </rPr>
      <t>게이트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휘발성 상</t>
    </r>
    <r>
      <rPr>
        <sz val="10"/>
        <color rgb="FF000000"/>
        <rFont val="맑은 고딕"/>
        <family val="3"/>
        <charset val="129"/>
      </rPr>
      <t xml:space="preserve">, </t>
    </r>
    <r>
      <rPr>
        <sz val="10"/>
        <color rgb="FF000000"/>
        <rFont val="Noto Sans CJK SC"/>
        <family val="2"/>
      </rPr>
      <t>반증조건 미작성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</si>
  <si>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맑은 고딕"/>
        <family val="3"/>
        <charset val="129"/>
      </rPr>
      <t xml:space="preserve">01·02 </t>
    </r>
    <r>
      <rPr>
        <sz val="10"/>
        <color rgb="FF000000"/>
        <rFont val="Noto Sans CJK SC"/>
        <family val="2"/>
      </rPr>
      <t>시트의 우측 건수 열은 수식이므로 행 추가 시 범위 확인 필요</t>
    </r>
  </si>
  <si>
    <r>
      <rPr>
        <b/>
        <sz val="10"/>
        <color rgb="FFFFFFFF"/>
        <rFont val="맑은 고딕"/>
        <family val="3"/>
        <charset val="129"/>
      </rPr>
      <t>C</t>
    </r>
    <r>
      <rPr>
        <b/>
        <sz val="10"/>
        <color rgb="FFFFFFFF"/>
        <rFont val="Noto Sans CJK SC"/>
        <family val="2"/>
      </rPr>
      <t>코드</t>
    </r>
  </si>
  <si>
    <t>대분류</t>
  </si>
  <si>
    <t>죄명</t>
  </si>
  <si>
    <t>근거법률</t>
  </si>
  <si>
    <t>근거조문</t>
  </si>
  <si>
    <t>행위 태양</t>
  </si>
  <si>
    <t>가중 근거</t>
  </si>
  <si>
    <t>선결 죄명</t>
  </si>
  <si>
    <t>소추조건</t>
  </si>
  <si>
    <r>
      <rPr>
        <b/>
        <sz val="10"/>
        <color rgb="FFFFFFFF"/>
        <rFont val="Noto Sans CJK SC"/>
        <family val="2"/>
      </rPr>
      <t>몰수</t>
    </r>
    <r>
      <rPr>
        <b/>
        <sz val="10"/>
        <color rgb="FFFFFFFF"/>
        <rFont val="맑은 고딕"/>
        <family val="3"/>
        <charset val="129"/>
      </rPr>
      <t>·</t>
    </r>
    <r>
      <rPr>
        <b/>
        <sz val="10"/>
        <color rgb="FFFFFFFF"/>
        <rFont val="Noto Sans CJK SC"/>
        <family val="2"/>
      </rPr>
      <t>추징</t>
    </r>
  </si>
  <si>
    <r>
      <rPr>
        <b/>
        <sz val="10"/>
        <color rgb="FFFFFFFF"/>
        <rFont val="맑은 고딕"/>
        <family val="3"/>
        <charset val="129"/>
      </rPr>
      <t xml:space="preserve">F </t>
    </r>
    <r>
      <rPr>
        <b/>
        <sz val="10"/>
        <color rgb="FFFFFFFF"/>
        <rFont val="Noto Sans CJK SC"/>
        <family val="2"/>
      </rPr>
      <t>전개상태</t>
    </r>
  </si>
  <si>
    <r>
      <rPr>
        <b/>
        <sz val="10"/>
        <color rgb="FFFFFFFF"/>
        <rFont val="Noto Sans CJK SC"/>
        <family val="2"/>
      </rPr>
      <t xml:space="preserve">연결 </t>
    </r>
    <r>
      <rPr>
        <b/>
        <sz val="10"/>
        <color rgb="FFFFFFFF"/>
        <rFont val="맑은 고딕"/>
        <family val="3"/>
        <charset val="129"/>
      </rPr>
      <t xml:space="preserve">F </t>
    </r>
    <r>
      <rPr>
        <b/>
        <sz val="10"/>
        <color rgb="FFFFFFFF"/>
        <rFont val="Noto Sans CJK SC"/>
        <family val="2"/>
      </rPr>
      <t>건수</t>
    </r>
  </si>
  <si>
    <t>C-11</t>
  </si>
  <si>
    <t>관세수입 침해</t>
  </si>
  <si>
    <t>관세포탈</t>
  </si>
  <si>
    <t>관세법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</si>
  <si>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270</t>
    </r>
    <r>
      <rPr>
        <sz val="9"/>
        <rFont val="Noto Sans CJK SC"/>
        <family val="2"/>
      </rPr>
      <t>조①</t>
    </r>
    <r>
      <rPr>
        <sz val="9"/>
        <rFont val="맑은 고딕"/>
        <family val="3"/>
        <charset val="129"/>
      </rPr>
      <t>1</t>
    </r>
  </si>
  <si>
    <r>
      <rPr>
        <sz val="9"/>
        <rFont val="Noto Sans CJK SC"/>
        <family val="2"/>
      </rPr>
      <t>세액결정에 영향을 미치기 위해 과세가격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관세율 등을 거짓신고하거나 신고하지 않고 수입</t>
    </r>
  </si>
  <si>
    <r>
      <rPr>
        <sz val="9"/>
        <rFont val="Noto Sans CJK SC"/>
        <family val="2"/>
      </rPr>
      <t>특가법 제</t>
    </r>
    <r>
      <rPr>
        <sz val="9"/>
        <rFont val="맑은 고딕"/>
        <family val="3"/>
        <charset val="129"/>
      </rPr>
      <t>6</t>
    </r>
    <r>
      <rPr>
        <sz val="9"/>
        <rFont val="Noto Sans CJK SC"/>
        <family val="2"/>
      </rPr>
      <t>조</t>
    </r>
  </si>
  <si>
    <t>세관장 고발</t>
  </si>
  <si>
    <t>해당 없음</t>
  </si>
  <si>
    <t>완료</t>
  </si>
  <si>
    <t>C-12</t>
  </si>
  <si>
    <t>부정감면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</si>
  <si>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270</t>
    </r>
    <r>
      <rPr>
        <sz val="9"/>
        <rFont val="Noto Sans CJK SC"/>
        <family val="2"/>
      </rPr>
      <t>조④</t>
    </r>
  </si>
  <si>
    <t>부정한 방법으로 관세를 감면받거나 감면물품에 대한 관세 징수를 면탈</t>
  </si>
  <si>
    <t>C-13</t>
  </si>
  <si>
    <t>부정환급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</si>
  <si>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270</t>
    </r>
    <r>
      <rPr>
        <sz val="9"/>
        <rFont val="Noto Sans CJK SC"/>
        <family val="2"/>
      </rPr>
      <t>조⑤</t>
    </r>
  </si>
  <si>
    <r>
      <rPr>
        <sz val="9"/>
        <rFont val="Noto Sans CJK SC"/>
        <family val="2"/>
      </rPr>
      <t xml:space="preserve">부정한 방법으로 관세를 환급받음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세관장은 해당 세액 즉시 징수</t>
    </r>
    <r>
      <rPr>
        <sz val="9"/>
        <rFont val="맑은 고딕"/>
        <family val="3"/>
        <charset val="129"/>
      </rPr>
      <t>)</t>
    </r>
  </si>
  <si>
    <t>C-14</t>
  </si>
  <si>
    <t>가격조작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</si>
  <si>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270</t>
    </r>
    <r>
      <rPr>
        <sz val="9"/>
        <rFont val="Noto Sans CJK SC"/>
        <family val="2"/>
      </rPr>
      <t>조의</t>
    </r>
    <r>
      <rPr>
        <sz val="9"/>
        <rFont val="맑은 고딕"/>
        <family val="3"/>
        <charset val="129"/>
      </rPr>
      <t>2</t>
    </r>
  </si>
  <si>
    <r>
      <rPr>
        <sz val="9"/>
        <rFont val="Noto Sans CJK SC"/>
        <family val="2"/>
      </rPr>
      <t>재산상 이득 취득 목적으로 물품가격을 조작하여 신청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신고</t>
    </r>
  </si>
  <si>
    <t>－</t>
  </si>
  <si>
    <t>C-21</t>
  </si>
  <si>
    <t>밀수출입</t>
  </si>
  <si>
    <t>밀수입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</si>
  <si>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269</t>
    </r>
    <r>
      <rPr>
        <sz val="9"/>
        <rFont val="Noto Sans CJK SC"/>
        <family val="2"/>
      </rPr>
      <t>조②</t>
    </r>
    <r>
      <rPr>
        <sz val="9"/>
        <rFont val="맑은 고딕"/>
        <family val="3"/>
        <charset val="129"/>
      </rPr>
      <t>1·2</t>
    </r>
  </si>
  <si>
    <r>
      <rPr>
        <sz val="9"/>
        <rFont val="Noto Sans CJK SC"/>
        <family val="2"/>
      </rPr>
      <t xml:space="preserve">무신고 수입 </t>
    </r>
    <r>
      <rPr>
        <sz val="9"/>
        <rFont val="맑은 고딕"/>
        <family val="3"/>
        <charset val="129"/>
      </rPr>
      <t xml:space="preserve">/ </t>
    </r>
    <r>
      <rPr>
        <sz val="9"/>
        <rFont val="Noto Sans CJK SC"/>
        <family val="2"/>
      </rPr>
      <t>해당 수입물품과 다른 물품으로 신고하여 수입</t>
    </r>
  </si>
  <si>
    <r>
      <rPr>
        <sz val="9"/>
        <rFont val="Noto Sans CJK SC"/>
        <family val="2"/>
      </rPr>
      <t>몰수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불능 시 국내도매가격 추징</t>
    </r>
  </si>
  <si>
    <t>C-22</t>
  </si>
  <si>
    <r>
      <rPr>
        <sz val="9"/>
        <rFont val="Noto Sans CJK SC"/>
        <family val="2"/>
      </rPr>
      <t>밀수출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밀반송</t>
    </r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</si>
  <si>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269</t>
    </r>
    <r>
      <rPr>
        <sz val="9"/>
        <rFont val="Noto Sans CJK SC"/>
        <family val="2"/>
      </rPr>
      <t>조③</t>
    </r>
    <r>
      <rPr>
        <sz val="9"/>
        <rFont val="맑은 고딕"/>
        <family val="3"/>
        <charset val="129"/>
      </rPr>
      <t>1·2</t>
    </r>
  </si>
  <si>
    <r>
      <rPr>
        <sz val="9"/>
        <rFont val="Noto Sans CJK SC"/>
        <family val="2"/>
      </rPr>
      <t>무신고 수출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 xml:space="preserve">반송 </t>
    </r>
    <r>
      <rPr>
        <sz val="9"/>
        <rFont val="맑은 고딕"/>
        <family val="3"/>
        <charset val="129"/>
      </rPr>
      <t xml:space="preserve">/ </t>
    </r>
    <r>
      <rPr>
        <sz val="9"/>
        <rFont val="Noto Sans CJK SC"/>
        <family val="2"/>
      </rPr>
      <t>다른 물품으로 신고하여 수출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반송</t>
    </r>
  </si>
  <si>
    <t>몰수 대상</t>
  </si>
  <si>
    <r>
      <rPr>
        <sz val="9"/>
        <rFont val="Noto Sans CJK SC"/>
        <family val="2"/>
      </rPr>
      <t>미전개</t>
    </r>
    <r>
      <rPr>
        <sz val="9"/>
        <rFont val="맑은 고딕"/>
        <family val="3"/>
        <charset val="129"/>
      </rPr>
      <t>(2</t>
    </r>
    <r>
      <rPr>
        <sz val="9"/>
        <rFont val="Noto Sans CJK SC"/>
        <family val="2"/>
      </rPr>
      <t>차</t>
    </r>
    <r>
      <rPr>
        <sz val="9"/>
        <rFont val="맑은 고딕"/>
        <family val="3"/>
        <charset val="129"/>
      </rPr>
      <t>)</t>
    </r>
  </si>
  <si>
    <t>C-23</t>
  </si>
  <si>
    <t>금지품 수출입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</si>
  <si>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269</t>
    </r>
    <r>
      <rPr>
        <sz val="9"/>
        <rFont val="Noto Sans CJK SC"/>
        <family val="2"/>
      </rPr>
      <t xml:space="preserve">조①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234</t>
    </r>
    <r>
      <rPr>
        <sz val="9"/>
        <rFont val="Noto Sans CJK SC"/>
        <family val="2"/>
      </rPr>
      <t>조 각 호</t>
    </r>
    <r>
      <rPr>
        <sz val="9"/>
        <rFont val="맑은 고딕"/>
        <family val="3"/>
        <charset val="129"/>
      </rPr>
      <t>)</t>
    </r>
  </si>
  <si>
    <t>수출입 금지품의 수출 또는 수입</t>
  </si>
  <si>
    <r>
      <rPr>
        <sz val="9"/>
        <rFont val="Noto Sans CJK SC"/>
        <family val="2"/>
      </rPr>
      <t>특가법 제</t>
    </r>
    <r>
      <rPr>
        <sz val="9"/>
        <rFont val="맑은 고딕"/>
        <family val="3"/>
        <charset val="129"/>
      </rPr>
      <t>6</t>
    </r>
    <r>
      <rPr>
        <sz val="9"/>
        <rFont val="Noto Sans CJK SC"/>
        <family val="2"/>
      </rPr>
      <t>조①</t>
    </r>
  </si>
  <si>
    <t>C-24</t>
  </si>
  <si>
    <t>밀수품 취득 등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</si>
  <si>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274</t>
    </r>
    <r>
      <rPr>
        <sz val="9"/>
        <rFont val="Noto Sans CJK SC"/>
        <family val="2"/>
      </rPr>
      <t>조①</t>
    </r>
  </si>
  <si>
    <r>
      <rPr>
        <sz val="9"/>
        <rFont val="Noto Sans CJK SC"/>
        <family val="2"/>
      </rPr>
      <t>밀수품의 취득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양도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운반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보관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알선 또는 감정</t>
    </r>
  </si>
  <si>
    <t>C-21 / C-22 / C-23</t>
  </si>
  <si>
    <r>
      <rPr>
        <sz val="9"/>
        <rFont val="Noto Sans CJK SC"/>
        <family val="2"/>
      </rPr>
      <t>몰수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추징 대상</t>
    </r>
  </si>
  <si>
    <t>C-31</t>
  </si>
  <si>
    <r>
      <rPr>
        <sz val="9"/>
        <rFont val="Noto Sans CJK SC"/>
        <family val="2"/>
      </rPr>
      <t>부정 통관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신고</t>
    </r>
  </si>
  <si>
    <t>부정수입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</si>
  <si>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270</t>
    </r>
    <r>
      <rPr>
        <sz val="9"/>
        <rFont val="Noto Sans CJK SC"/>
        <family val="2"/>
      </rPr>
      <t>조②</t>
    </r>
  </si>
  <si>
    <r>
      <rPr>
        <sz val="9"/>
        <rFont val="Noto Sans CJK SC"/>
        <family val="2"/>
      </rPr>
      <t>수입에 필요한 허가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승인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추천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증명 등을 갖추지 않거나 부정한 방법으로 갖추어 수입</t>
    </r>
  </si>
  <si>
    <t>C-32</t>
  </si>
  <si>
    <t>부정수출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</si>
  <si>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270</t>
    </r>
    <r>
      <rPr>
        <sz val="9"/>
        <rFont val="Noto Sans CJK SC"/>
        <family val="2"/>
      </rPr>
      <t>조③</t>
    </r>
  </si>
  <si>
    <r>
      <rPr>
        <sz val="9"/>
        <rFont val="Noto Sans CJK SC"/>
        <family val="2"/>
      </rPr>
      <t>수출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반송에 필요한 요건을 갖추지 않거나 부정한 방법으로 갖추어 수출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반송</t>
    </r>
  </si>
  <si>
    <t>C-33</t>
  </si>
  <si>
    <t>분할수입 등 회피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</si>
  <si>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270</t>
    </r>
    <r>
      <rPr>
        <sz val="9"/>
        <rFont val="Noto Sans CJK SC"/>
        <family val="2"/>
      </rPr>
      <t>조①</t>
    </r>
    <r>
      <rPr>
        <sz val="9"/>
        <rFont val="맑은 고딕"/>
        <family val="3"/>
        <charset val="129"/>
      </rPr>
      <t>3</t>
    </r>
  </si>
  <si>
    <t>수입제한 회피 목적의 부분품 수입 또는 완제품 분할수입</t>
  </si>
  <si>
    <t>C-34</t>
  </si>
  <si>
    <r>
      <rPr>
        <sz val="9"/>
        <rFont val="Noto Sans CJK SC"/>
        <family val="2"/>
      </rPr>
      <t>통관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절차 질서</t>
    </r>
  </si>
  <si>
    <t>허위신고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</si>
  <si>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276</t>
    </r>
    <r>
      <rPr>
        <sz val="9"/>
        <rFont val="Noto Sans CJK SC"/>
        <family val="2"/>
      </rPr>
      <t>조</t>
    </r>
  </si>
  <si>
    <r>
      <rPr>
        <sz val="9"/>
        <rFont val="Noto Sans CJK SC"/>
        <family val="2"/>
      </rPr>
      <t xml:space="preserve">신고사항의 미신고 또는 허위신고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세액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통관적정 주요사항 외</t>
    </r>
    <r>
      <rPr>
        <sz val="9"/>
        <rFont val="맑은 고딕"/>
        <family val="3"/>
        <charset val="129"/>
      </rPr>
      <t>)</t>
    </r>
  </si>
  <si>
    <t>C-41</t>
  </si>
  <si>
    <t>명의대여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</si>
  <si>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275</t>
    </r>
    <r>
      <rPr>
        <sz val="9"/>
        <rFont val="Noto Sans CJK SC"/>
        <family val="2"/>
      </rPr>
      <t>조의</t>
    </r>
    <r>
      <rPr>
        <sz val="9"/>
        <rFont val="맑은 고딕"/>
        <family val="3"/>
        <charset val="129"/>
      </rPr>
      <t>3</t>
    </r>
  </si>
  <si>
    <r>
      <rPr>
        <sz val="9"/>
        <rFont val="Noto Sans CJK SC"/>
        <family val="2"/>
      </rPr>
      <t>관세 회피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강제집행 면탈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재산상 이득 목적의 타인 명의 납세신고 및 그 허락</t>
    </r>
  </si>
  <si>
    <t>C-42</t>
  </si>
  <si>
    <t>강제징수 면탈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</si>
  <si>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275</t>
    </r>
    <r>
      <rPr>
        <sz val="9"/>
        <rFont val="Noto Sans CJK SC"/>
        <family val="2"/>
      </rPr>
      <t>조의</t>
    </r>
    <r>
      <rPr>
        <sz val="9"/>
        <rFont val="맑은 고딕"/>
        <family val="3"/>
        <charset val="129"/>
      </rPr>
      <t>2</t>
    </r>
  </si>
  <si>
    <r>
      <rPr>
        <sz val="9"/>
        <rFont val="Noto Sans CJK SC"/>
        <family val="2"/>
      </rPr>
      <t>재산 은닉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탈루 또는 거짓계약으로 강제징수를 면탈</t>
    </r>
  </si>
  <si>
    <t>C-51</t>
  </si>
  <si>
    <r>
      <rPr>
        <sz val="9"/>
        <rFont val="Noto Sans CJK SC"/>
        <family val="2"/>
      </rPr>
      <t>금지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제한 위반</t>
    </r>
  </si>
  <si>
    <t>원산지표시 위반</t>
  </si>
  <si>
    <t>대외무역법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</si>
  <si>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33</t>
    </r>
    <r>
      <rPr>
        <sz val="9"/>
        <rFont val="Noto Sans CJK SC"/>
        <family val="2"/>
      </rPr>
      <t>조 등</t>
    </r>
  </si>
  <si>
    <r>
      <rPr>
        <sz val="9"/>
        <rFont val="Noto Sans CJK SC"/>
        <family val="2"/>
      </rPr>
      <t>원산지 허위표시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오인표시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표시의 손상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변경</t>
    </r>
  </si>
  <si>
    <t>소관 부처 확인 필요</t>
  </si>
  <si>
    <t>C-52</t>
  </si>
  <si>
    <t>지재권 침해물품 수입</t>
  </si>
  <si>
    <r>
      <rPr>
        <sz val="9"/>
        <rFont val="Noto Sans CJK SC"/>
        <family val="2"/>
      </rPr>
      <t>상표법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저작권법 등</t>
    </r>
  </si>
  <si>
    <r>
      <rPr>
        <sz val="9"/>
        <rFont val="Noto Sans CJK SC"/>
        <family val="2"/>
      </rPr>
      <t>상표법 제</t>
    </r>
    <r>
      <rPr>
        <sz val="9"/>
        <rFont val="맑은 고딕"/>
        <family val="3"/>
        <charset val="129"/>
      </rPr>
      <t>230</t>
    </r>
    <r>
      <rPr>
        <sz val="9"/>
        <rFont val="Noto Sans CJK SC"/>
        <family val="2"/>
      </rPr>
      <t>조 등</t>
    </r>
  </si>
  <si>
    <r>
      <rPr>
        <sz val="9"/>
        <rFont val="Noto Sans CJK SC"/>
        <family val="2"/>
      </rPr>
      <t>침해물품의 수입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 xml:space="preserve">유통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235</t>
    </r>
    <r>
      <rPr>
        <sz val="9"/>
        <rFont val="Noto Sans CJK SC"/>
        <family val="2"/>
      </rPr>
      <t>조 통관보류 연계</t>
    </r>
    <r>
      <rPr>
        <sz val="9"/>
        <rFont val="맑은 고딕"/>
        <family val="3"/>
        <charset val="129"/>
      </rPr>
      <t>)</t>
    </r>
  </si>
  <si>
    <t>권리자 고소 여부 확인</t>
  </si>
  <si>
    <t>몰수 가능</t>
  </si>
  <si>
    <t>C-61</t>
  </si>
  <si>
    <t>외환수사</t>
  </si>
  <si>
    <t>신고 없는 지급방법</t>
  </si>
  <si>
    <t>외국환거래법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</si>
  <si>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16</t>
    </r>
    <r>
      <rPr>
        <sz val="9"/>
        <rFont val="Noto Sans CJK SC"/>
        <family val="2"/>
      </rPr>
      <t>조 등</t>
    </r>
  </si>
  <si>
    <r>
      <rPr>
        <sz val="9"/>
        <rFont val="Noto Sans CJK SC"/>
        <family val="2"/>
      </rPr>
      <t>환치기 등 신고하지 않은 지급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수령 방법에 의한 자금이동</t>
    </r>
  </si>
  <si>
    <t>별도 확인</t>
  </si>
  <si>
    <r>
      <rPr>
        <sz val="9"/>
        <rFont val="Noto Sans CJK SC"/>
        <family val="2"/>
      </rPr>
      <t>몰수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추징 가능</t>
    </r>
  </si>
  <si>
    <t>C-62</t>
  </si>
  <si>
    <t>무등록 외국환업무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</si>
  <si>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8</t>
    </r>
    <r>
      <rPr>
        <sz val="9"/>
        <rFont val="Noto Sans CJK SC"/>
        <family val="2"/>
      </rPr>
      <t>조 등</t>
    </r>
  </si>
  <si>
    <r>
      <rPr>
        <sz val="9"/>
        <rFont val="Noto Sans CJK SC"/>
        <family val="2"/>
      </rPr>
      <t>등록 없이 환전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송금 등 외국환업무 영위</t>
    </r>
  </si>
  <si>
    <t>C-63</t>
  </si>
  <si>
    <t>재산국외도피</t>
  </si>
  <si>
    <t>특경법</t>
  </si>
  <si>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4</t>
    </r>
    <r>
      <rPr>
        <sz val="9"/>
        <rFont val="Noto Sans CJK SC"/>
        <family val="2"/>
      </rPr>
      <t>조</t>
    </r>
  </si>
  <si>
    <t>법령을 위반하여 재산을 국외로 이동하거나 국내로 반입하지 않음</t>
  </si>
  <si>
    <t>특경법 자체 가중</t>
  </si>
  <si>
    <r>
      <rPr>
        <b/>
        <sz val="10"/>
        <color rgb="FFFFFFFF"/>
        <rFont val="맑은 고딕"/>
        <family val="3"/>
        <charset val="129"/>
      </rPr>
      <t>F</t>
    </r>
    <r>
      <rPr>
        <b/>
        <sz val="10"/>
        <color rgb="FFFFFFFF"/>
        <rFont val="Noto Sans CJK SC"/>
        <family val="2"/>
      </rPr>
      <t>코드</t>
    </r>
  </si>
  <si>
    <t>계층</t>
  </si>
  <si>
    <t>요증사실</t>
  </si>
  <si>
    <t>입증 난이도</t>
  </si>
  <si>
    <t>비고</t>
  </si>
  <si>
    <r>
      <rPr>
        <b/>
        <sz val="10"/>
        <color rgb="FFFFFFFF"/>
        <rFont val="Noto Sans CJK SC"/>
        <family val="2"/>
      </rPr>
      <t xml:space="preserve">매핑 </t>
    </r>
    <r>
      <rPr>
        <b/>
        <sz val="10"/>
        <color rgb="FFFFFFFF"/>
        <rFont val="맑은 고딕"/>
        <family val="3"/>
        <charset val="129"/>
      </rPr>
      <t xml:space="preserve">E </t>
    </r>
    <r>
      <rPr>
        <b/>
        <sz val="10"/>
        <color rgb="FFFFFFFF"/>
        <rFont val="Noto Sans CJK SC"/>
        <family val="2"/>
      </rPr>
      <t>건수</t>
    </r>
  </si>
  <si>
    <t>F-C11-01</t>
  </si>
  <si>
    <t>F-O</t>
  </si>
  <si>
    <r>
      <rPr>
        <sz val="9"/>
        <rFont val="Noto Sans CJK SC"/>
        <family val="2"/>
      </rPr>
      <t xml:space="preserve">수입신고를 한 사실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신고인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신고번호 특정</t>
    </r>
    <r>
      <rPr>
        <sz val="9"/>
        <rFont val="맑은 고딕"/>
        <family val="3"/>
        <charset val="129"/>
      </rPr>
      <t>)</t>
    </r>
  </si>
  <si>
    <t>하</t>
  </si>
  <si>
    <t>F-C11-02</t>
  </si>
  <si>
    <r>
      <rPr>
        <sz val="9"/>
        <rFont val="Noto Sans CJK SC"/>
        <family val="2"/>
      </rPr>
      <t>신고내용이 사실과 다름 — 과세가격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세번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세율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수량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원산지 중 무엇이 어떻게 다른지 특정</t>
    </r>
  </si>
  <si>
    <t>중</t>
  </si>
  <si>
    <t>F-C11-03</t>
  </si>
  <si>
    <r>
      <rPr>
        <sz val="9"/>
        <rFont val="Noto Sans CJK SC"/>
        <family val="2"/>
      </rPr>
      <t xml:space="preserve">물품의 동일성은 유지됨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 xml:space="preserve">동일성 부정 시 </t>
    </r>
    <r>
      <rPr>
        <sz val="9"/>
        <rFont val="맑은 고딕"/>
        <family val="3"/>
        <charset val="129"/>
      </rPr>
      <t>C-21</t>
    </r>
    <r>
      <rPr>
        <sz val="9"/>
        <rFont val="Noto Sans CJK SC"/>
        <family val="2"/>
      </rPr>
      <t>로 이동</t>
    </r>
    <r>
      <rPr>
        <sz val="9"/>
        <rFont val="맑은 고딕"/>
        <family val="3"/>
        <charset val="129"/>
      </rPr>
      <t>)</t>
    </r>
  </si>
  <si>
    <r>
      <rPr>
        <sz val="9"/>
        <rFont val="맑은 고딕"/>
        <family val="3"/>
        <charset val="129"/>
      </rPr>
      <t xml:space="preserve">R-C1 </t>
    </r>
    <r>
      <rPr>
        <sz val="9"/>
        <rFont val="Noto Sans CJK SC"/>
        <family val="2"/>
      </rPr>
      <t>분기점</t>
    </r>
  </si>
  <si>
    <t>F-C11-04</t>
  </si>
  <si>
    <r>
      <rPr>
        <sz val="9"/>
        <rFont val="Noto Sans CJK SC"/>
        <family val="2"/>
      </rPr>
      <t xml:space="preserve">정당세액과 신고세액의 차액 </t>
    </r>
    <r>
      <rPr>
        <sz val="9"/>
        <rFont val="맑은 고딕"/>
        <family val="3"/>
        <charset val="129"/>
      </rPr>
      <t xml:space="preserve">= </t>
    </r>
    <r>
      <rPr>
        <sz val="9"/>
        <rFont val="Noto Sans CJK SC"/>
        <family val="2"/>
      </rPr>
      <t>포탈세액</t>
    </r>
  </si>
  <si>
    <t>F-C11-05</t>
  </si>
  <si>
    <t>F-S</t>
  </si>
  <si>
    <t>세액결정에 영향을 미칠 목적 및 포탈의 고의</t>
  </si>
  <si>
    <t>상</t>
  </si>
  <si>
    <t>핵심 쟁점</t>
  </si>
  <si>
    <t>F-C11-06</t>
  </si>
  <si>
    <t>F-P</t>
  </si>
  <si>
    <r>
      <rPr>
        <sz val="9"/>
        <rFont val="Noto Sans CJK SC"/>
        <family val="2"/>
      </rPr>
      <t xml:space="preserve">연도별 포탈세액 합계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특가법 기준액 판정</t>
    </r>
    <r>
      <rPr>
        <sz val="9"/>
        <rFont val="맑은 고딕"/>
        <family val="3"/>
        <charset val="129"/>
      </rPr>
      <t>)</t>
    </r>
  </si>
  <si>
    <t>F-C11-07</t>
  </si>
  <si>
    <r>
      <rPr>
        <sz val="9"/>
        <rFont val="Noto Sans CJK SC"/>
        <family val="2"/>
      </rPr>
      <t xml:space="preserve">세관장 고발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소추조건</t>
    </r>
    <r>
      <rPr>
        <sz val="9"/>
        <rFont val="맑은 고딕"/>
        <family val="3"/>
        <charset val="129"/>
      </rPr>
      <t>)</t>
    </r>
  </si>
  <si>
    <t>F-C12-01</t>
  </si>
  <si>
    <t>관세 감면을 신청하여 승인받은 사실</t>
  </si>
  <si>
    <t>F-C12-02</t>
  </si>
  <si>
    <r>
      <rPr>
        <sz val="9"/>
        <rFont val="Noto Sans CJK SC"/>
        <family val="2"/>
      </rPr>
      <t>부정한 방법의 존재 — 요건 허위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사실 묵비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서류 조작 중 특정</t>
    </r>
  </si>
  <si>
    <t>F-C12-03</t>
  </si>
  <si>
    <t>감면세액 또는 면탈세액의 산정</t>
  </si>
  <si>
    <t>F-C12-04</t>
  </si>
  <si>
    <t>부정한 방법에 대한 인식</t>
  </si>
  <si>
    <t>F-C12-05</t>
  </si>
  <si>
    <t>사후관리 기간 및 위반 여부</t>
  </si>
  <si>
    <t>F-C13-01</t>
  </si>
  <si>
    <t>환급을 신청하고 수령한 사실</t>
  </si>
  <si>
    <t>F-C13-02</t>
  </si>
  <si>
    <r>
      <rPr>
        <sz val="9"/>
        <rFont val="Noto Sans CJK SC"/>
        <family val="2"/>
      </rPr>
      <t>부정한 방법의 존재 — 소요량 과다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수출사실 부존재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원재료 불일치 중 특정</t>
    </r>
  </si>
  <si>
    <t>F-C13-03</t>
  </si>
  <si>
    <t>정당환급액 산정 및 차액</t>
  </si>
  <si>
    <t>F-C13-04</t>
  </si>
  <si>
    <t>F-C13-05</t>
  </si>
  <si>
    <t>즉시 징수 대상 세액 확정</t>
  </si>
  <si>
    <t>F-C14-01</t>
  </si>
  <si>
    <r>
      <rPr>
        <sz val="9"/>
        <rFont val="Noto Sans CJK SC"/>
        <family val="2"/>
      </rPr>
      <t>보정신청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수정신고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수출입신고 등 대상 신청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신고를 한 사실</t>
    </r>
  </si>
  <si>
    <t>F-C14-02</t>
  </si>
  <si>
    <r>
      <rPr>
        <sz val="9"/>
        <rFont val="Noto Sans CJK SC"/>
        <family val="2"/>
      </rPr>
      <t xml:space="preserve">가격을 조작한 사실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실제가격과 신고가격의 괴리</t>
    </r>
    <r>
      <rPr>
        <sz val="9"/>
        <rFont val="맑은 고딕"/>
        <family val="3"/>
        <charset val="129"/>
      </rPr>
      <t>)</t>
    </r>
  </si>
  <si>
    <t>F-C14-03</t>
  </si>
  <si>
    <r>
      <rPr>
        <sz val="9"/>
        <rFont val="Noto Sans CJK SC"/>
        <family val="2"/>
      </rPr>
      <t>부당하게 재물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재산상 이득을 취득할 목적</t>
    </r>
  </si>
  <si>
    <r>
      <rPr>
        <sz val="9"/>
        <rFont val="맑은 고딕"/>
        <family val="3"/>
        <charset val="129"/>
      </rPr>
      <t>C-11</t>
    </r>
    <r>
      <rPr>
        <sz val="9"/>
        <rFont val="Noto Sans CJK SC"/>
        <family val="2"/>
      </rPr>
      <t xml:space="preserve">과의 분기점 </t>
    </r>
    <r>
      <rPr>
        <sz val="9"/>
        <rFont val="맑은 고딕"/>
        <family val="3"/>
        <charset val="129"/>
      </rPr>
      <t>(R-C2)</t>
    </r>
  </si>
  <si>
    <t>F-C14-04</t>
  </si>
  <si>
    <t>물품원가 산정</t>
  </si>
  <si>
    <t>F-C21-01</t>
  </si>
  <si>
    <r>
      <rPr>
        <sz val="9"/>
        <rFont val="Noto Sans CJK SC"/>
        <family val="2"/>
      </rPr>
      <t xml:space="preserve">물품이 수입된 사실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수입의 시기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장소</t>
    </r>
    <r>
      <rPr>
        <sz val="9"/>
        <rFont val="맑은 고딕"/>
        <family val="3"/>
        <charset val="129"/>
      </rPr>
      <t>)</t>
    </r>
  </si>
  <si>
    <t>F-C21-02</t>
  </si>
  <si>
    <r>
      <rPr>
        <sz val="9"/>
        <rFont val="Noto Sans CJK SC"/>
        <family val="2"/>
      </rPr>
      <t>신고를 하지 않았거나</t>
    </r>
    <r>
      <rPr>
        <sz val="9"/>
        <rFont val="맑은 고딕"/>
        <family val="3"/>
        <charset val="129"/>
      </rPr>
      <t>(1</t>
    </r>
    <r>
      <rPr>
        <sz val="9"/>
        <rFont val="Noto Sans CJK SC"/>
        <family val="2"/>
      </rPr>
      <t>호</t>
    </r>
    <r>
      <rPr>
        <sz val="9"/>
        <rFont val="맑은 고딕"/>
        <family val="3"/>
        <charset val="129"/>
      </rPr>
      <t xml:space="preserve">), </t>
    </r>
    <r>
      <rPr>
        <sz val="9"/>
        <rFont val="Noto Sans CJK SC"/>
        <family val="2"/>
      </rPr>
      <t>신고물품과 실제물품이 다름</t>
    </r>
    <r>
      <rPr>
        <sz val="9"/>
        <rFont val="맑은 고딕"/>
        <family val="3"/>
        <charset val="129"/>
      </rPr>
      <t>(2</t>
    </r>
    <r>
      <rPr>
        <sz val="9"/>
        <rFont val="Noto Sans CJK SC"/>
        <family val="2"/>
      </rPr>
      <t>호</t>
    </r>
    <r>
      <rPr>
        <sz val="9"/>
        <rFont val="맑은 고딕"/>
        <family val="3"/>
        <charset val="129"/>
      </rPr>
      <t>)</t>
    </r>
  </si>
  <si>
    <t>F-C21-03</t>
  </si>
  <si>
    <t>물품의 동일성 부정 — 신고물품과 실제물품이 사회통념상 별개 물품임</t>
  </si>
  <si>
    <t>F-C21-04</t>
  </si>
  <si>
    <r>
      <rPr>
        <sz val="9"/>
        <rFont val="Noto Sans CJK SC"/>
        <family val="2"/>
      </rPr>
      <t>무신고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허위신고의 고의</t>
    </r>
  </si>
  <si>
    <t>F-C21-05</t>
  </si>
  <si>
    <r>
      <rPr>
        <sz val="9"/>
        <rFont val="Noto Sans CJK SC"/>
        <family val="2"/>
      </rPr>
      <t xml:space="preserve">물품원가 및 관세액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벌금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가중 기준</t>
    </r>
    <r>
      <rPr>
        <sz val="9"/>
        <rFont val="맑은 고딕"/>
        <family val="3"/>
        <charset val="129"/>
      </rPr>
      <t>)</t>
    </r>
  </si>
  <si>
    <t>F-C21-06</t>
  </si>
  <si>
    <r>
      <rPr>
        <sz val="9"/>
        <rFont val="Noto Sans CJK SC"/>
        <family val="2"/>
      </rPr>
      <t>몰수 대상물품 특정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몰수 불능 시 추징액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국내도매가격</t>
    </r>
    <r>
      <rPr>
        <sz val="9"/>
        <rFont val="맑은 고딕"/>
        <family val="3"/>
        <charset val="129"/>
      </rPr>
      <t>)</t>
    </r>
  </si>
  <si>
    <t>물품원가와 구분</t>
  </si>
  <si>
    <t>F-C24-01</t>
  </si>
  <si>
    <r>
      <rPr>
        <sz val="9"/>
        <rFont val="Noto Sans CJK SC"/>
        <family val="2"/>
      </rPr>
      <t>본범</t>
    </r>
    <r>
      <rPr>
        <sz val="9"/>
        <rFont val="맑은 고딕"/>
        <family val="3"/>
        <charset val="129"/>
      </rPr>
      <t xml:space="preserve">(C-21~C-23 </t>
    </r>
    <r>
      <rPr>
        <sz val="9"/>
        <rFont val="Noto Sans CJK SC"/>
        <family val="2"/>
      </rPr>
      <t>등</t>
    </r>
    <r>
      <rPr>
        <sz val="9"/>
        <rFont val="맑은 고딕"/>
        <family val="3"/>
        <charset val="129"/>
      </rPr>
      <t>)</t>
    </r>
    <r>
      <rPr>
        <sz val="9"/>
        <rFont val="Noto Sans CJK SC"/>
        <family val="2"/>
      </rPr>
      <t>의 성립</t>
    </r>
  </si>
  <si>
    <r>
      <rPr>
        <sz val="9"/>
        <rFont val="Noto Sans CJK SC"/>
        <family val="2"/>
      </rPr>
      <t xml:space="preserve">선결 요건 </t>
    </r>
    <r>
      <rPr>
        <sz val="9"/>
        <rFont val="맑은 고딕"/>
        <family val="3"/>
        <charset val="129"/>
      </rPr>
      <t>(R-C3)</t>
    </r>
  </si>
  <si>
    <t>F-C24-02</t>
  </si>
  <si>
    <r>
      <rPr>
        <sz val="9"/>
        <rFont val="Noto Sans CJK SC"/>
        <family val="2"/>
      </rPr>
      <t>취득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양도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운반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보관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알선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감정 중 어느 행위를 하였는지 특정</t>
    </r>
  </si>
  <si>
    <t>F-C24-03</t>
  </si>
  <si>
    <r>
      <rPr>
        <sz val="9"/>
        <rFont val="Noto Sans CJK SC"/>
        <family val="2"/>
      </rPr>
      <t>밀수품이라는 정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情</t>
    </r>
    <r>
      <rPr>
        <sz val="9"/>
        <rFont val="맑은 고딕"/>
        <family val="3"/>
        <charset val="129"/>
      </rPr>
      <t>)</t>
    </r>
    <r>
      <rPr>
        <sz val="9"/>
        <rFont val="Noto Sans CJK SC"/>
        <family val="2"/>
      </rPr>
      <t>의 인식</t>
    </r>
  </si>
  <si>
    <t>F-C24-04</t>
  </si>
  <si>
    <r>
      <rPr>
        <sz val="9"/>
        <rFont val="Noto Sans CJK SC"/>
        <family val="2"/>
      </rPr>
      <t>물품원가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몰수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추징</t>
    </r>
  </si>
  <si>
    <t>F-C31-01</t>
  </si>
  <si>
    <r>
      <rPr>
        <sz val="9"/>
        <rFont val="Noto Sans CJK SC"/>
        <family val="2"/>
      </rPr>
      <t>해당 물품이 허가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승인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추천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 xml:space="preserve">증명 대상임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근거법령 특정</t>
    </r>
    <r>
      <rPr>
        <sz val="9"/>
        <rFont val="맑은 고딕"/>
        <family val="3"/>
        <charset val="129"/>
      </rPr>
      <t>)</t>
    </r>
  </si>
  <si>
    <t>F-C31-02</t>
  </si>
  <si>
    <t>요건을 갖추지 않았거나 부정한 방법으로 갖추었음</t>
  </si>
  <si>
    <t>발급기관 회신이 결정적</t>
  </si>
  <si>
    <t>F-C31-03</t>
  </si>
  <si>
    <t>수입이 이루어진 사실</t>
  </si>
  <si>
    <t>F-C31-04</t>
  </si>
  <si>
    <t>요건 미비 또는 부정 취득에 대한 인식</t>
  </si>
  <si>
    <t>F-C41-01</t>
  </si>
  <si>
    <r>
      <rPr>
        <sz val="9"/>
        <rFont val="Noto Sans CJK SC"/>
        <family val="2"/>
      </rPr>
      <t>타인의 성명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상호로 납세신고가 이루어진 사실</t>
    </r>
  </si>
  <si>
    <t>F-C41-02</t>
  </si>
  <si>
    <t>실질 행위자와 명의자의 분리</t>
  </si>
  <si>
    <r>
      <rPr>
        <sz val="9"/>
        <rFont val="맑은 고딕"/>
        <family val="3"/>
        <charset val="129"/>
      </rPr>
      <t xml:space="preserve">P-15 </t>
    </r>
    <r>
      <rPr>
        <sz val="9"/>
        <rFont val="Noto Sans CJK SC"/>
        <family val="2"/>
      </rPr>
      <t>연결</t>
    </r>
  </si>
  <si>
    <t>F-C41-03</t>
  </si>
  <si>
    <r>
      <rPr>
        <sz val="9"/>
        <rFont val="Noto Sans CJK SC"/>
        <family val="2"/>
      </rPr>
      <t>관세 회피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강제집행 면탈 또는 재산상 이득 목적</t>
    </r>
  </si>
  <si>
    <t>F-C41-04</t>
  </si>
  <si>
    <r>
      <rPr>
        <sz val="9"/>
        <rFont val="Noto Sans CJK SC"/>
        <family val="2"/>
      </rPr>
      <t xml:space="preserve">명의자의 허락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허락자 처벌 시</t>
    </r>
    <r>
      <rPr>
        <sz val="9"/>
        <rFont val="맑은 고딕"/>
        <family val="3"/>
        <charset val="129"/>
      </rPr>
      <t>)</t>
    </r>
  </si>
  <si>
    <t>F-C61-01</t>
  </si>
  <si>
    <r>
      <rPr>
        <sz val="9"/>
        <rFont val="Noto Sans CJK SC"/>
        <family val="2"/>
      </rPr>
      <t>거주자–비거주자 간 채권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채무의 발생</t>
    </r>
  </si>
  <si>
    <t>F-C61-02</t>
  </si>
  <si>
    <r>
      <rPr>
        <sz val="9"/>
        <rFont val="Noto Sans CJK SC"/>
        <family val="2"/>
      </rPr>
      <t>신고대상 지급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수령 방법에 해당함</t>
    </r>
  </si>
  <si>
    <t>F-C61-03</t>
  </si>
  <si>
    <t>국내 자금수수와 해외 자금이동의 대응관계</t>
  </si>
  <si>
    <t>입증의 핵심</t>
  </si>
  <si>
    <t>F-C61-04</t>
  </si>
  <si>
    <t>신고를 하지 않은 사실</t>
  </si>
  <si>
    <t>F-C61-05</t>
  </si>
  <si>
    <t>미신고에 대한 인식</t>
  </si>
  <si>
    <t>F-GEN-01</t>
  </si>
  <si>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공통</t>
    </r>
    <r>
      <rPr>
        <sz val="9"/>
        <rFont val="맑은 고딕"/>
        <family val="3"/>
        <charset val="129"/>
      </rPr>
      <t>)</t>
    </r>
  </si>
  <si>
    <t>고의</t>
  </si>
  <si>
    <t>전 죄명 상속</t>
  </si>
  <si>
    <t>F-GEN-02</t>
  </si>
  <si>
    <r>
      <rPr>
        <sz val="9"/>
        <rFont val="Noto Sans CJK SC"/>
        <family val="2"/>
      </rPr>
      <t>공동정범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교사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방조의 경우 공모 및 기여</t>
    </r>
  </si>
  <si>
    <t>공범 존재 시</t>
  </si>
  <si>
    <t>F-GEN-03</t>
  </si>
  <si>
    <r>
      <rPr>
        <sz val="9"/>
        <rFont val="Noto Sans CJK SC"/>
        <family val="2"/>
      </rPr>
      <t>법인 처벌 시 행위자의 업무 관련성 및 법인의 관리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 xml:space="preserve">감독 해태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양벌규정</t>
    </r>
    <r>
      <rPr>
        <sz val="9"/>
        <rFont val="맑은 고딕"/>
        <family val="3"/>
        <charset val="129"/>
      </rPr>
      <t>)</t>
    </r>
  </si>
  <si>
    <t>법인 피의자</t>
  </si>
  <si>
    <t>F-GEN-04</t>
  </si>
  <si>
    <r>
      <rPr>
        <sz val="9"/>
        <rFont val="Noto Sans CJK SC"/>
        <family val="2"/>
      </rPr>
      <t xml:space="preserve">세관장 고발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관세범의 소추조건</t>
    </r>
    <r>
      <rPr>
        <sz val="9"/>
        <rFont val="맑은 고딕"/>
        <family val="3"/>
        <charset val="129"/>
      </rPr>
      <t>)</t>
    </r>
  </si>
  <si>
    <t>특가법 특례 확인 필요</t>
  </si>
  <si>
    <t>F-GEN-05</t>
  </si>
  <si>
    <t>공소시효 기산점 및 도과 여부</t>
  </si>
  <si>
    <t>F-GEN-06</t>
  </si>
  <si>
    <r>
      <rPr>
        <sz val="9"/>
        <rFont val="Noto Sans CJK SC"/>
        <family val="2"/>
      </rPr>
      <t>몰수 대상 특정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몰수 불능 시 추징액</t>
    </r>
  </si>
  <si>
    <t>몰수 규정 적용 죄명</t>
  </si>
  <si>
    <r>
      <rPr>
        <b/>
        <sz val="10"/>
        <color rgb="FFFFFFFF"/>
        <rFont val="맑은 고딕"/>
        <family val="3"/>
        <charset val="129"/>
      </rPr>
      <t>E</t>
    </r>
    <r>
      <rPr>
        <b/>
        <sz val="10"/>
        <color rgb="FFFFFFFF"/>
        <rFont val="Noto Sans CJK SC"/>
        <family val="2"/>
      </rPr>
      <t>코드</t>
    </r>
  </si>
  <si>
    <t>분류</t>
  </si>
  <si>
    <t>증거항목</t>
  </si>
  <si>
    <t>보유주체</t>
  </si>
  <si>
    <t>휘발성</t>
  </si>
  <si>
    <t>기본 게이트</t>
  </si>
  <si>
    <t>E-101</t>
  </si>
  <si>
    <r>
      <rPr>
        <sz val="9"/>
        <rFont val="Noto Sans CJK SC"/>
        <family val="2"/>
      </rPr>
      <t>신고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통관</t>
    </r>
  </si>
  <si>
    <t>수입신고필증</t>
  </si>
  <si>
    <t>세관</t>
  </si>
  <si>
    <t>G1</t>
  </si>
  <si>
    <t>E-102</t>
  </si>
  <si>
    <t>수출신고필증</t>
  </si>
  <si>
    <t>E-103</t>
  </si>
  <si>
    <r>
      <rPr>
        <sz val="9"/>
        <rFont val="Noto Sans CJK SC"/>
        <family val="2"/>
      </rPr>
      <t>적하목록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화물관리번호 이력</t>
    </r>
  </si>
  <si>
    <t>E-104</t>
  </si>
  <si>
    <r>
      <rPr>
        <sz val="9"/>
        <rFont val="Noto Sans CJK SC"/>
        <family val="2"/>
      </rPr>
      <t>여행자 휴대품 신고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검사기록</t>
    </r>
  </si>
  <si>
    <t>E-105</t>
  </si>
  <si>
    <r>
      <rPr>
        <sz val="9"/>
        <rFont val="Noto Sans CJK SC"/>
        <family val="2"/>
      </rPr>
      <t>특송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우편 통관목록</t>
    </r>
  </si>
  <si>
    <t>E-106</t>
  </si>
  <si>
    <r>
      <rPr>
        <sz val="9"/>
        <rFont val="Noto Sans CJK SC"/>
        <family val="2"/>
      </rPr>
      <t>환급신청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지급내역</t>
    </r>
  </si>
  <si>
    <t>E-107</t>
  </si>
  <si>
    <r>
      <rPr>
        <sz val="9"/>
        <rFont val="Noto Sans CJK SC"/>
        <family val="2"/>
      </rPr>
      <t>감면승인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사후관리대장</t>
    </r>
  </si>
  <si>
    <t>E-108</t>
  </si>
  <si>
    <t>통관고유부호 사용이력</t>
  </si>
  <si>
    <t>E-109</t>
  </si>
  <si>
    <t>요건확인 승인내역</t>
  </si>
  <si>
    <r>
      <rPr>
        <sz val="9"/>
        <rFont val="Noto Sans CJK SC"/>
        <family val="2"/>
      </rPr>
      <t>세관</t>
    </r>
    <r>
      <rPr>
        <sz val="9"/>
        <rFont val="맑은 고딕"/>
        <family val="3"/>
        <charset val="129"/>
      </rPr>
      <t>/</t>
    </r>
    <r>
      <rPr>
        <sz val="9"/>
        <rFont val="Noto Sans CJK SC"/>
        <family val="2"/>
      </rPr>
      <t>요건기관</t>
    </r>
  </si>
  <si>
    <t>진위는 발급기관 회신 필요</t>
  </si>
  <si>
    <t>E-110</t>
  </si>
  <si>
    <r>
      <rPr>
        <sz val="9"/>
        <rFont val="Noto Sans CJK SC"/>
        <family val="2"/>
      </rPr>
      <t>사전심사 신청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회신 자료</t>
    </r>
  </si>
  <si>
    <t>E-201</t>
  </si>
  <si>
    <r>
      <rPr>
        <sz val="9"/>
        <rFont val="Noto Sans CJK SC"/>
        <family val="2"/>
      </rPr>
      <t>거래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계약</t>
    </r>
  </si>
  <si>
    <r>
      <rPr>
        <sz val="9"/>
        <rFont val="Noto Sans CJK SC"/>
        <family val="2"/>
      </rPr>
      <t>매매계약서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발주서</t>
    </r>
  </si>
  <si>
    <t>업체</t>
  </si>
  <si>
    <t>G2</t>
  </si>
  <si>
    <t>E-202</t>
  </si>
  <si>
    <r>
      <rPr>
        <sz val="9"/>
        <rFont val="Noto Sans CJK SC"/>
        <family val="2"/>
      </rPr>
      <t>상업송장 원본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포장명세서</t>
    </r>
  </si>
  <si>
    <t>E-203</t>
  </si>
  <si>
    <r>
      <rPr>
        <sz val="9"/>
        <rFont val="Noto Sans CJK SC"/>
        <family val="2"/>
      </rPr>
      <t>라이선스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기술도입 계약</t>
    </r>
  </si>
  <si>
    <t>E-204</t>
  </si>
  <si>
    <r>
      <rPr>
        <sz val="9"/>
        <rFont val="Noto Sans CJK SC"/>
        <family val="2"/>
      </rPr>
      <t>가격합의문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견적서</t>
    </r>
  </si>
  <si>
    <t>E-205</t>
  </si>
  <si>
    <r>
      <rPr>
        <sz val="9"/>
        <rFont val="Noto Sans CJK SC"/>
        <family val="2"/>
      </rPr>
      <t>별도송금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상계 약정</t>
    </r>
  </si>
  <si>
    <t>E-206</t>
  </si>
  <si>
    <r>
      <rPr>
        <sz val="9"/>
        <rFont val="Noto Sans CJK SC"/>
        <family val="2"/>
      </rPr>
      <t>국내 판매계약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거래명세</t>
    </r>
  </si>
  <si>
    <t>E-301</t>
  </si>
  <si>
    <r>
      <rPr>
        <sz val="9"/>
        <rFont val="Noto Sans CJK SC"/>
        <family val="2"/>
      </rPr>
      <t>회계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생산</t>
    </r>
  </si>
  <si>
    <r>
      <rPr>
        <sz val="9"/>
        <rFont val="Noto Sans CJK SC"/>
        <family val="2"/>
      </rPr>
      <t>총계정원장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매입원장</t>
    </r>
  </si>
  <si>
    <t>E-302</t>
  </si>
  <si>
    <t>재고수불부</t>
  </si>
  <si>
    <t>E-303</t>
  </si>
  <si>
    <r>
      <rPr>
        <sz val="9"/>
        <rFont val="Noto Sans CJK SC"/>
        <family val="2"/>
      </rPr>
      <t>지급전표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미지급금 명세</t>
    </r>
  </si>
  <si>
    <t>E-304</t>
  </si>
  <si>
    <r>
      <rPr>
        <sz val="9"/>
        <rFont val="Noto Sans CJK SC"/>
        <family val="2"/>
      </rPr>
      <t>고정자산대장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처분전표</t>
    </r>
  </si>
  <si>
    <t>E-305</t>
  </si>
  <si>
    <r>
      <rPr>
        <sz val="9"/>
        <rFont val="Noto Sans CJK SC"/>
        <family val="2"/>
      </rPr>
      <t>이전가격 보고서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그룹 거래정책</t>
    </r>
  </si>
  <si>
    <r>
      <rPr>
        <sz val="9"/>
        <rFont val="맑은 고딕"/>
        <family val="3"/>
        <charset val="129"/>
      </rPr>
      <t>#</t>
    </r>
    <r>
      <rPr>
        <sz val="9"/>
        <rFont val="Noto Sans CJK SC"/>
        <family val="2"/>
      </rPr>
      <t>업종</t>
    </r>
    <r>
      <rPr>
        <sz val="9"/>
        <rFont val="맑은 고딕"/>
        <family val="3"/>
        <charset val="129"/>
      </rPr>
      <t>:</t>
    </r>
    <r>
      <rPr>
        <sz val="9"/>
        <rFont val="Noto Sans CJK SC"/>
        <family val="2"/>
      </rPr>
      <t>전자 자동삽입</t>
    </r>
  </si>
  <si>
    <t>E-306</t>
  </si>
  <si>
    <r>
      <rPr>
        <sz val="9"/>
        <rFont val="Noto Sans CJK SC"/>
        <family val="2"/>
      </rPr>
      <t>세금계산서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매출자료</t>
    </r>
  </si>
  <si>
    <t>E-307</t>
  </si>
  <si>
    <r>
      <rPr>
        <sz val="9"/>
        <rFont val="Noto Sans CJK SC"/>
        <family val="2"/>
      </rPr>
      <t>생산일지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작업지시서</t>
    </r>
    <r>
      <rPr>
        <sz val="9"/>
        <rFont val="맑은 고딕"/>
        <family val="3"/>
        <charset val="129"/>
      </rPr>
      <t>·BOM</t>
    </r>
  </si>
  <si>
    <t>E-308</t>
  </si>
  <si>
    <r>
      <rPr>
        <sz val="9"/>
        <rFont val="Noto Sans CJK SC"/>
        <family val="2"/>
      </rPr>
      <t>소요량계산서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수율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불량률 자료</t>
    </r>
  </si>
  <si>
    <t>E-401</t>
  </si>
  <si>
    <r>
      <rPr>
        <sz val="9"/>
        <rFont val="Noto Sans CJK SC"/>
        <family val="2"/>
      </rPr>
      <t>물류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운송</t>
    </r>
  </si>
  <si>
    <r>
      <rPr>
        <sz val="9"/>
        <rFont val="Noto Sans CJK SC"/>
        <family val="2"/>
      </rPr>
      <t>선하증권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항공운송장</t>
    </r>
  </si>
  <si>
    <r>
      <rPr>
        <sz val="9"/>
        <rFont val="Noto Sans CJK SC"/>
        <family val="2"/>
      </rPr>
      <t>선사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항공사</t>
    </r>
  </si>
  <si>
    <t>E-402</t>
  </si>
  <si>
    <r>
      <rPr>
        <sz val="9"/>
        <rFont val="Noto Sans CJK SC"/>
        <family val="2"/>
      </rPr>
      <t>검량</t>
    </r>
    <r>
      <rPr>
        <sz val="9"/>
        <rFont val="맑은 고딕"/>
        <family val="3"/>
        <charset val="129"/>
      </rPr>
      <t>(VGM)·</t>
    </r>
    <r>
      <rPr>
        <sz val="9"/>
        <rFont val="Noto Sans CJK SC"/>
        <family val="2"/>
      </rPr>
      <t>중량증명</t>
    </r>
  </si>
  <si>
    <r>
      <rPr>
        <sz val="9"/>
        <rFont val="Noto Sans CJK SC"/>
        <family val="2"/>
      </rPr>
      <t>선사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검량업체</t>
    </r>
  </si>
  <si>
    <t>E-403</t>
  </si>
  <si>
    <r>
      <rPr>
        <sz val="9"/>
        <rFont val="Noto Sans CJK SC"/>
        <family val="2"/>
      </rPr>
      <t>봉인번호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환적기록</t>
    </r>
  </si>
  <si>
    <r>
      <rPr>
        <sz val="9"/>
        <rFont val="Noto Sans CJK SC"/>
        <family val="2"/>
      </rPr>
      <t>선사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터미널</t>
    </r>
  </si>
  <si>
    <t>E-404</t>
  </si>
  <si>
    <r>
      <rPr>
        <sz val="9"/>
        <rFont val="Noto Sans CJK SC"/>
        <family val="2"/>
      </rPr>
      <t>보세구역 반출입기록</t>
    </r>
    <r>
      <rPr>
        <sz val="9"/>
        <rFont val="맑은 고딕"/>
        <family val="3"/>
        <charset val="129"/>
      </rPr>
      <t>·CCTV</t>
    </r>
  </si>
  <si>
    <t>보세구역 운영인</t>
  </si>
  <si>
    <t>보존연한 짧음 — 최우선</t>
  </si>
  <si>
    <t>E-405</t>
  </si>
  <si>
    <t>창고 입출고전표</t>
  </si>
  <si>
    <t>물류업체</t>
  </si>
  <si>
    <t>E-406</t>
  </si>
  <si>
    <t>배송 운송장 이력</t>
  </si>
  <si>
    <r>
      <rPr>
        <sz val="9"/>
        <rFont val="Noto Sans CJK SC"/>
        <family val="2"/>
      </rPr>
      <t>택배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특송사</t>
    </r>
  </si>
  <si>
    <t>E-501</t>
  </si>
  <si>
    <r>
      <rPr>
        <sz val="9"/>
        <rFont val="Noto Sans CJK SC"/>
        <family val="2"/>
      </rPr>
      <t>현품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감정</t>
    </r>
  </si>
  <si>
    <r>
      <rPr>
        <sz val="9"/>
        <rFont val="Noto Sans CJK SC"/>
        <family val="2"/>
      </rPr>
      <t xml:space="preserve">현품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유치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압수물</t>
    </r>
    <r>
      <rPr>
        <sz val="9"/>
        <rFont val="맑은 고딕"/>
        <family val="3"/>
        <charset val="129"/>
      </rPr>
      <t>)</t>
    </r>
  </si>
  <si>
    <t>G2/G4</t>
  </si>
  <si>
    <t>통관 완료 시 확보 곤란</t>
  </si>
  <si>
    <t>E-502</t>
  </si>
  <si>
    <r>
      <rPr>
        <sz val="9"/>
        <rFont val="Noto Sans CJK SC"/>
        <family val="2"/>
      </rPr>
      <t>성분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구조 감정서</t>
    </r>
  </si>
  <si>
    <t>분석기관</t>
  </si>
  <si>
    <t>E-503</t>
  </si>
  <si>
    <r>
      <rPr>
        <sz val="9"/>
        <rFont val="Noto Sans CJK SC"/>
        <family val="2"/>
      </rPr>
      <t>제품 사양서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카탈로그</t>
    </r>
  </si>
  <si>
    <r>
      <rPr>
        <sz val="9"/>
        <rFont val="Noto Sans CJK SC"/>
        <family val="2"/>
      </rPr>
      <t>업체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제조자</t>
    </r>
  </si>
  <si>
    <t>E-504</t>
  </si>
  <si>
    <r>
      <rPr>
        <sz val="9"/>
        <rFont val="Noto Sans CJK SC"/>
        <family val="2"/>
      </rPr>
      <t>표시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광고물</t>
    </r>
  </si>
  <si>
    <r>
      <rPr>
        <sz val="9"/>
        <rFont val="Noto Sans CJK SC"/>
        <family val="2"/>
      </rPr>
      <t>업체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유통</t>
    </r>
  </si>
  <si>
    <t>E-505</t>
  </si>
  <si>
    <t>권리자 감정서</t>
  </si>
  <si>
    <t>권리자</t>
  </si>
  <si>
    <t>E-601</t>
  </si>
  <si>
    <r>
      <rPr>
        <sz val="9"/>
        <rFont val="Noto Sans CJK SC"/>
        <family val="2"/>
      </rPr>
      <t>금융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자금</t>
    </r>
  </si>
  <si>
    <r>
      <rPr>
        <sz val="9"/>
        <rFont val="Noto Sans CJK SC"/>
        <family val="2"/>
      </rPr>
      <t>외국환 지급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수령내역</t>
    </r>
  </si>
  <si>
    <t>금융기관</t>
  </si>
  <si>
    <t>G3</t>
  </si>
  <si>
    <t>영장 필요</t>
  </si>
  <si>
    <t>E-602</t>
  </si>
  <si>
    <t>계좌 거래내역</t>
  </si>
  <si>
    <t>E-603</t>
  </si>
  <si>
    <r>
      <rPr>
        <sz val="9"/>
        <rFont val="Noto Sans CJK SC"/>
        <family val="2"/>
      </rPr>
      <t>신용장</t>
    </r>
    <r>
      <rPr>
        <sz val="9"/>
        <rFont val="맑은 고딕"/>
        <family val="3"/>
        <charset val="129"/>
      </rPr>
      <t xml:space="preserve">·T/T </t>
    </r>
    <r>
      <rPr>
        <sz val="9"/>
        <rFont val="Noto Sans CJK SC"/>
        <family val="2"/>
      </rPr>
      <t>증빙</t>
    </r>
  </si>
  <si>
    <r>
      <rPr>
        <sz val="9"/>
        <rFont val="Noto Sans CJK SC"/>
        <family val="2"/>
      </rPr>
      <t>금융기관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업체</t>
    </r>
  </si>
  <si>
    <t>G2/G3</t>
  </si>
  <si>
    <t>E-604</t>
  </si>
  <si>
    <r>
      <rPr>
        <sz val="9"/>
        <rFont val="맑은 고딕"/>
        <family val="3"/>
        <charset val="129"/>
      </rPr>
      <t xml:space="preserve">FIU </t>
    </r>
    <r>
      <rPr>
        <sz val="9"/>
        <rFont val="Noto Sans CJK SC"/>
        <family val="2"/>
      </rPr>
      <t>특정금융거래정보</t>
    </r>
  </si>
  <si>
    <t>FIU</t>
  </si>
  <si>
    <r>
      <rPr>
        <sz val="9"/>
        <rFont val="Noto Sans CJK SC"/>
        <family val="2"/>
      </rPr>
      <t>요구권이 아닌 제공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통보 체계</t>
    </r>
  </si>
  <si>
    <t>E-605</t>
  </si>
  <si>
    <t>결제수단 명의자료</t>
  </si>
  <si>
    <r>
      <rPr>
        <sz val="9"/>
        <rFont val="Noto Sans CJK SC"/>
        <family val="2"/>
      </rPr>
      <t>카드사</t>
    </r>
    <r>
      <rPr>
        <sz val="9"/>
        <rFont val="맑은 고딕"/>
        <family val="3"/>
        <charset val="129"/>
      </rPr>
      <t>·PG</t>
    </r>
  </si>
  <si>
    <t>E-701</t>
  </si>
  <si>
    <r>
      <rPr>
        <sz val="9"/>
        <rFont val="Noto Sans CJK SC"/>
        <family val="2"/>
      </rPr>
      <t>인적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관계</t>
    </r>
  </si>
  <si>
    <r>
      <rPr>
        <sz val="9"/>
        <rFont val="Noto Sans CJK SC"/>
        <family val="2"/>
      </rPr>
      <t>법인등기부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주주명부</t>
    </r>
  </si>
  <si>
    <r>
      <rPr>
        <sz val="9"/>
        <rFont val="Noto Sans CJK SC"/>
        <family val="2"/>
      </rPr>
      <t>등기소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업체</t>
    </r>
  </si>
  <si>
    <t>E-702</t>
  </si>
  <si>
    <r>
      <rPr>
        <sz val="9"/>
        <rFont val="Noto Sans CJK SC"/>
        <family val="2"/>
      </rPr>
      <t>사업자등록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설립서류</t>
    </r>
  </si>
  <si>
    <t>세무관서</t>
  </si>
  <si>
    <t>E-703</t>
  </si>
  <si>
    <r>
      <rPr>
        <sz val="9"/>
        <rFont val="Noto Sans CJK SC"/>
        <family val="2"/>
      </rPr>
      <t>임차계약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공과금 납부내역</t>
    </r>
  </si>
  <si>
    <r>
      <rPr>
        <sz val="9"/>
        <rFont val="Noto Sans CJK SC"/>
        <family val="2"/>
      </rPr>
      <t>임대인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공급기관</t>
    </r>
  </si>
  <si>
    <t>E-704</t>
  </si>
  <si>
    <t>사회보험 가입이력</t>
  </si>
  <si>
    <t>공단</t>
  </si>
  <si>
    <t>E-705</t>
  </si>
  <si>
    <t>출입국기록</t>
  </si>
  <si>
    <t>출입국관서</t>
  </si>
  <si>
    <t>E-706</t>
  </si>
  <si>
    <r>
      <rPr>
        <sz val="9"/>
        <rFont val="Noto Sans CJK SC"/>
        <family val="2"/>
      </rPr>
      <t>항공권 예약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결제자료</t>
    </r>
    <r>
      <rPr>
        <sz val="9"/>
        <rFont val="맑은 고딕"/>
        <family val="3"/>
        <charset val="129"/>
      </rPr>
      <t>(PNR)</t>
    </r>
  </si>
  <si>
    <r>
      <rPr>
        <sz val="9"/>
        <rFont val="Noto Sans CJK SC"/>
        <family val="2"/>
      </rPr>
      <t>항공사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발권사</t>
    </r>
  </si>
  <si>
    <t>E-801</t>
  </si>
  <si>
    <r>
      <rPr>
        <sz val="9"/>
        <rFont val="Noto Sans CJK SC"/>
        <family val="2"/>
      </rPr>
      <t>통신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디지털</t>
    </r>
  </si>
  <si>
    <r>
      <rPr>
        <sz val="9"/>
        <rFont val="Noto Sans CJK SC"/>
        <family val="2"/>
      </rPr>
      <t>이메일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메신저</t>
    </r>
  </si>
  <si>
    <r>
      <rPr>
        <sz val="9"/>
        <rFont val="Noto Sans CJK SC"/>
        <family val="2"/>
      </rPr>
      <t>업체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개인</t>
    </r>
  </si>
  <si>
    <t>G3/G4</t>
  </si>
  <si>
    <t>고의 입증 핵심</t>
  </si>
  <si>
    <t>E-802</t>
  </si>
  <si>
    <t>휴대전화 포렌식 산출물</t>
  </si>
  <si>
    <t>개인</t>
  </si>
  <si>
    <t>G4</t>
  </si>
  <si>
    <t>E-803</t>
  </si>
  <si>
    <r>
      <rPr>
        <sz val="9"/>
        <rFont val="Noto Sans CJK SC"/>
        <family val="2"/>
      </rPr>
      <t>내부 결재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회의자료</t>
    </r>
  </si>
  <si>
    <t>E-804</t>
  </si>
  <si>
    <r>
      <rPr>
        <sz val="9"/>
        <rFont val="Noto Sans CJK SC"/>
        <family val="2"/>
      </rPr>
      <t>플랫폼 판매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정산내역</t>
    </r>
  </si>
  <si>
    <r>
      <rPr>
        <sz val="9"/>
        <rFont val="Noto Sans CJK SC"/>
        <family val="2"/>
      </rPr>
      <t>오픈마켓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플랫폼</t>
    </r>
  </si>
  <si>
    <t>E-901</t>
  </si>
  <si>
    <t>진술</t>
  </si>
  <si>
    <t>피의자 신문조서</t>
  </si>
  <si>
    <t>E-902</t>
  </si>
  <si>
    <t>참고인 진술조서</t>
  </si>
  <si>
    <t>E-903</t>
  </si>
  <si>
    <r>
      <rPr>
        <sz val="9"/>
        <rFont val="Noto Sans CJK SC"/>
        <family val="2"/>
      </rPr>
      <t>확인서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문답서</t>
    </r>
  </si>
  <si>
    <t>E-1001</t>
  </si>
  <si>
    <r>
      <rPr>
        <sz val="9"/>
        <rFont val="Noto Sans CJK SC"/>
        <family val="2"/>
      </rPr>
      <t>해외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공조</t>
    </r>
  </si>
  <si>
    <t>수출국 수출신고자료</t>
  </si>
  <si>
    <t>상대국 관세당국</t>
  </si>
  <si>
    <t>회신 장기 — 즉시 발송</t>
  </si>
  <si>
    <t>E-1002</t>
  </si>
  <si>
    <t>원산지 검증 회신</t>
  </si>
  <si>
    <t>상대국 검증기관</t>
  </si>
  <si>
    <t>E-1003</t>
  </si>
  <si>
    <r>
      <rPr>
        <sz val="9"/>
        <rFont val="맑은 고딕"/>
        <family val="3"/>
        <charset val="129"/>
      </rPr>
      <t xml:space="preserve">C/O </t>
    </r>
    <r>
      <rPr>
        <sz val="9"/>
        <rFont val="Noto Sans CJK SC"/>
        <family val="2"/>
      </rPr>
      <t>발급기관 확인 회신</t>
    </r>
  </si>
  <si>
    <t>발급기관</t>
  </si>
  <si>
    <r>
      <rPr>
        <b/>
        <sz val="10"/>
        <color rgb="FFFFFFFF"/>
        <rFont val="맑은 고딕"/>
        <family val="3"/>
        <charset val="129"/>
      </rPr>
      <t>A</t>
    </r>
    <r>
      <rPr>
        <b/>
        <sz val="10"/>
        <color rgb="FFFFFFFF"/>
        <rFont val="Noto Sans CJK SC"/>
        <family val="2"/>
      </rPr>
      <t>코드</t>
    </r>
  </si>
  <si>
    <t>수집행위</t>
  </si>
  <si>
    <t>근거법령</t>
  </si>
  <si>
    <t>게이트</t>
  </si>
  <si>
    <t>산출물</t>
  </si>
  <si>
    <t>소요기간</t>
  </si>
  <si>
    <t>A-01</t>
  </si>
  <si>
    <r>
      <rPr>
        <sz val="9"/>
        <rFont val="Noto Sans CJK SC"/>
        <family val="2"/>
      </rPr>
      <t>내부 보유자료 조회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대사</t>
    </r>
  </si>
  <si>
    <t>내부 보유자료</t>
  </si>
  <si>
    <t>대사표</t>
  </si>
  <si>
    <t>즉시</t>
  </si>
  <si>
    <t>자동화 대상</t>
  </si>
  <si>
    <t>A-02</t>
  </si>
  <si>
    <r>
      <rPr>
        <sz val="9"/>
        <rFont val="Noto Sans CJK SC"/>
        <family val="2"/>
      </rPr>
      <t>장부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자료 제출요구</t>
    </r>
  </si>
  <si>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266</t>
    </r>
    <r>
      <rPr>
        <sz val="9"/>
        <rFont val="Noto Sans CJK SC"/>
        <family val="2"/>
      </rPr>
      <t>조</t>
    </r>
  </si>
  <si>
    <r>
      <rPr>
        <sz val="9"/>
        <rFont val="Noto Sans CJK SC"/>
        <family val="2"/>
      </rPr>
      <t>제출요구서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수령증</t>
    </r>
  </si>
  <si>
    <t>단기</t>
  </si>
  <si>
    <t>A-03</t>
  </si>
  <si>
    <r>
      <rPr>
        <sz val="9"/>
        <rFont val="Noto Sans CJK SC"/>
        <family val="2"/>
      </rPr>
      <t>관계기관 조회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원조요구</t>
    </r>
  </si>
  <si>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268</t>
    </r>
    <r>
      <rPr>
        <sz val="9"/>
        <rFont val="Noto Sans CJK SC"/>
        <family val="2"/>
      </rPr>
      <t>조</t>
    </r>
  </si>
  <si>
    <t>회신문</t>
  </si>
  <si>
    <t>A-04</t>
  </si>
  <si>
    <r>
      <rPr>
        <sz val="9"/>
        <rFont val="Noto Sans CJK SC"/>
        <family val="2"/>
      </rPr>
      <t>현품검사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시료채취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감정의뢰</t>
    </r>
  </si>
  <si>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246</t>
    </r>
    <r>
      <rPr>
        <sz val="9"/>
        <rFont val="Noto Sans CJK SC"/>
        <family val="2"/>
      </rPr>
      <t>조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265</t>
    </r>
    <r>
      <rPr>
        <sz val="9"/>
        <rFont val="Noto Sans CJK SC"/>
        <family val="2"/>
      </rPr>
      <t>조</t>
    </r>
  </si>
  <si>
    <r>
      <rPr>
        <sz val="9"/>
        <rFont val="Noto Sans CJK SC"/>
        <family val="2"/>
      </rPr>
      <t>검사조서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감정서</t>
    </r>
  </si>
  <si>
    <t>중기</t>
  </si>
  <si>
    <t>A-05</t>
  </si>
  <si>
    <r>
      <rPr>
        <sz val="9"/>
        <rFont val="Noto Sans CJK SC"/>
        <family val="2"/>
      </rPr>
      <t>현장확인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실지조사</t>
    </r>
  </si>
  <si>
    <t>실지조사 복명서</t>
  </si>
  <si>
    <t>A-06</t>
  </si>
  <si>
    <t>참고인 진술청취</t>
  </si>
  <si>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291</t>
    </r>
    <r>
      <rPr>
        <sz val="9"/>
        <rFont val="Noto Sans CJK SC"/>
        <family val="2"/>
      </rPr>
      <t>조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292</t>
    </r>
    <r>
      <rPr>
        <sz val="9"/>
        <rFont val="Noto Sans CJK SC"/>
        <family val="2"/>
      </rPr>
      <t>조</t>
    </r>
  </si>
  <si>
    <r>
      <rPr>
        <sz val="9"/>
        <rFont val="Noto Sans CJK SC"/>
        <family val="2"/>
      </rPr>
      <t>진술조서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확인서</t>
    </r>
  </si>
  <si>
    <t>A-07</t>
  </si>
  <si>
    <t>해외세관 공조 요청</t>
  </si>
  <si>
    <r>
      <rPr>
        <sz val="9"/>
        <rFont val="맑은 고딕"/>
        <family val="3"/>
        <charset val="129"/>
      </rPr>
      <t>CMAA·</t>
    </r>
    <r>
      <rPr>
        <sz val="9"/>
        <rFont val="Noto Sans CJK SC"/>
        <family val="2"/>
      </rPr>
      <t>관세협력협정</t>
    </r>
  </si>
  <si>
    <t>공조 회신</t>
  </si>
  <si>
    <t>장기</t>
  </si>
  <si>
    <r>
      <rPr>
        <sz val="9"/>
        <rFont val="맑은 고딕"/>
        <family val="3"/>
        <charset val="129"/>
      </rPr>
      <t xml:space="preserve">R-E6 </t>
    </r>
    <r>
      <rPr>
        <sz val="9"/>
        <rFont val="Noto Sans CJK SC"/>
        <family val="2"/>
      </rPr>
      <t>착수 당일 발송</t>
    </r>
  </si>
  <si>
    <t>A-08</t>
  </si>
  <si>
    <t>원산지 검증 요청</t>
  </si>
  <si>
    <r>
      <rPr>
        <sz val="9"/>
        <rFont val="맑은 고딕"/>
        <family val="3"/>
        <charset val="129"/>
      </rPr>
      <t>FTA</t>
    </r>
    <r>
      <rPr>
        <sz val="9"/>
        <rFont val="Noto Sans CJK SC"/>
        <family val="2"/>
      </rPr>
      <t>관세특례법</t>
    </r>
  </si>
  <si>
    <t>검증 회신</t>
  </si>
  <si>
    <t>A-09</t>
  </si>
  <si>
    <t>금융거래정보 확보</t>
  </si>
  <si>
    <r>
      <rPr>
        <sz val="9"/>
        <rFont val="Noto Sans CJK SC"/>
        <family val="2"/>
      </rPr>
      <t xml:space="preserve">금융실명법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영장</t>
    </r>
    <r>
      <rPr>
        <sz val="9"/>
        <rFont val="맑은 고딕"/>
        <family val="3"/>
        <charset val="129"/>
      </rPr>
      <t>)</t>
    </r>
  </si>
  <si>
    <t>A-10</t>
  </si>
  <si>
    <t>통신사실확인자료 확보</t>
  </si>
  <si>
    <r>
      <rPr>
        <sz val="9"/>
        <rFont val="Noto Sans CJK SC"/>
        <family val="2"/>
      </rPr>
      <t xml:space="preserve">통신비밀보호법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허가</t>
    </r>
    <r>
      <rPr>
        <sz val="9"/>
        <rFont val="맑은 고딕"/>
        <family val="3"/>
        <charset val="129"/>
      </rPr>
      <t>)</t>
    </r>
  </si>
  <si>
    <t>통신자료</t>
  </si>
  <si>
    <t>A-11</t>
  </si>
  <si>
    <t>공적장부 조회</t>
  </si>
  <si>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268</t>
    </r>
    <r>
      <rPr>
        <sz val="9"/>
        <rFont val="Noto Sans CJK SC"/>
        <family val="2"/>
      </rPr>
      <t>조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등기 관련 법령</t>
    </r>
  </si>
  <si>
    <r>
      <rPr>
        <sz val="9"/>
        <rFont val="Noto Sans CJK SC"/>
        <family val="2"/>
      </rPr>
      <t>등기부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명부</t>
    </r>
  </si>
  <si>
    <t>A-12</t>
  </si>
  <si>
    <r>
      <rPr>
        <sz val="9"/>
        <rFont val="Noto Sans CJK SC"/>
        <family val="2"/>
      </rPr>
      <t>수색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압수</t>
    </r>
  </si>
  <si>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296</t>
    </r>
    <r>
      <rPr>
        <sz val="9"/>
        <rFont val="Noto Sans CJK SC"/>
        <family val="2"/>
      </rPr>
      <t xml:space="preserve">조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판사 영장</t>
    </r>
    <r>
      <rPr>
        <sz val="9"/>
        <rFont val="맑은 고딕"/>
        <family val="3"/>
        <charset val="129"/>
      </rPr>
      <t>)</t>
    </r>
  </si>
  <si>
    <r>
      <rPr>
        <sz val="9"/>
        <rFont val="Noto Sans CJK SC"/>
        <family val="2"/>
      </rPr>
      <t>압수조서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압수목록</t>
    </r>
  </si>
  <si>
    <t>범칙전환 필요</t>
  </si>
  <si>
    <t>A-13</t>
  </si>
  <si>
    <t>디지털 포렌식</t>
  </si>
  <si>
    <r>
      <rPr>
        <sz val="9"/>
        <rFont val="Noto Sans CJK SC"/>
        <family val="2"/>
      </rPr>
      <t>이미징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해시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분석보고서</t>
    </r>
  </si>
  <si>
    <r>
      <rPr>
        <sz val="9"/>
        <rFont val="Noto Sans CJK SC"/>
        <family val="2"/>
      </rPr>
      <t>선별압수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참여권 보장</t>
    </r>
  </si>
  <si>
    <t>A-14</t>
  </si>
  <si>
    <t>피의자 신문</t>
  </si>
  <si>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290~292</t>
    </r>
    <r>
      <rPr>
        <sz val="9"/>
        <rFont val="Noto Sans CJK SC"/>
        <family val="2"/>
      </rPr>
      <t>조</t>
    </r>
  </si>
  <si>
    <t>진술거부권 고지</t>
  </si>
  <si>
    <t>A-15</t>
  </si>
  <si>
    <r>
      <rPr>
        <sz val="9"/>
        <rFont val="Noto Sans CJK SC"/>
        <family val="2"/>
      </rPr>
      <t>통관보류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유치</t>
    </r>
  </si>
  <si>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235</t>
    </r>
    <r>
      <rPr>
        <sz val="9"/>
        <rFont val="Noto Sans CJK SC"/>
        <family val="2"/>
      </rPr>
      <t>조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238</t>
    </r>
    <r>
      <rPr>
        <sz val="9"/>
        <rFont val="Noto Sans CJK SC"/>
        <family val="2"/>
      </rPr>
      <t>조</t>
    </r>
  </si>
  <si>
    <r>
      <rPr>
        <sz val="9"/>
        <rFont val="Noto Sans CJK SC"/>
        <family val="2"/>
      </rPr>
      <t>보류통보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유치조서</t>
    </r>
  </si>
  <si>
    <t>현품 확보 수단</t>
  </si>
  <si>
    <t>A-16</t>
  </si>
  <si>
    <r>
      <rPr>
        <sz val="9"/>
        <rFont val="맑은 고딕"/>
        <family val="3"/>
        <charset val="129"/>
      </rPr>
      <t xml:space="preserve">FIU </t>
    </r>
    <r>
      <rPr>
        <sz val="9"/>
        <rFont val="Noto Sans CJK SC"/>
        <family val="2"/>
      </rPr>
      <t>정보 활용</t>
    </r>
  </si>
  <si>
    <t>특정금융정보법</t>
  </si>
  <si>
    <t>분석자료</t>
  </si>
  <si>
    <r>
      <rPr>
        <sz val="9"/>
        <rFont val="Noto Sans CJK SC"/>
        <family val="2"/>
      </rPr>
      <t>제공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통보 체계</t>
    </r>
  </si>
  <si>
    <r>
      <rPr>
        <b/>
        <sz val="10"/>
        <color rgb="FFFFFFFF"/>
        <rFont val="Noto Sans CJK SC"/>
        <family val="2"/>
      </rPr>
      <t>매핑</t>
    </r>
    <r>
      <rPr>
        <b/>
        <sz val="10"/>
        <color rgb="FFFFFFFF"/>
        <rFont val="맑은 고딕"/>
        <family val="3"/>
        <charset val="129"/>
      </rPr>
      <t>ID</t>
    </r>
  </si>
  <si>
    <t>필수구분</t>
  </si>
  <si>
    <t>증거항목명</t>
  </si>
  <si>
    <t>MAP-0001</t>
  </si>
  <si>
    <t>◎</t>
  </si>
  <si>
    <t>MAP-0002</t>
  </si>
  <si>
    <t>○</t>
  </si>
  <si>
    <t>MAP-0003</t>
  </si>
  <si>
    <t>착수 당일 발송</t>
  </si>
  <si>
    <t>MAP-0004</t>
  </si>
  <si>
    <t>MAP-0005</t>
  </si>
  <si>
    <t>MAP-0006</t>
  </si>
  <si>
    <t>MAP-0007</t>
  </si>
  <si>
    <t>MAP-0008</t>
  </si>
  <si>
    <t>MAP-0009</t>
  </si>
  <si>
    <t>MAP-0010</t>
  </si>
  <si>
    <t>MAP-0011</t>
  </si>
  <si>
    <t>MAP-0012</t>
  </si>
  <si>
    <t>MAP-0013</t>
  </si>
  <si>
    <t>MAP-0014</t>
  </si>
  <si>
    <t>고의 입증</t>
  </si>
  <si>
    <t>MAP-0015</t>
  </si>
  <si>
    <t>MAP-0016</t>
  </si>
  <si>
    <t>MAP-0017</t>
  </si>
  <si>
    <t>MAP-0018</t>
  </si>
  <si>
    <t>MAP-0019</t>
  </si>
  <si>
    <t>MAP-0020</t>
  </si>
  <si>
    <t>MAP-0021</t>
  </si>
  <si>
    <t>MAP-0022</t>
  </si>
  <si>
    <t>MAP-0023</t>
  </si>
  <si>
    <t>MAP-0024</t>
  </si>
  <si>
    <t>MAP-0025</t>
  </si>
  <si>
    <t>MAP-0026</t>
  </si>
  <si>
    <t>MAP-0027</t>
  </si>
  <si>
    <t>MAP-0028</t>
  </si>
  <si>
    <t>MAP-0029</t>
  </si>
  <si>
    <t>MAP-0030</t>
  </si>
  <si>
    <t>MAP-0031</t>
  </si>
  <si>
    <t>MAP-0032</t>
  </si>
  <si>
    <t>MAP-0033</t>
  </si>
  <si>
    <t>MAP-0034</t>
  </si>
  <si>
    <t>MAP-0035</t>
  </si>
  <si>
    <t>MAP-0036</t>
  </si>
  <si>
    <t>MAP-0037</t>
  </si>
  <si>
    <t>MAP-0038</t>
  </si>
  <si>
    <t>MAP-0039</t>
  </si>
  <si>
    <t>MAP-0040</t>
  </si>
  <si>
    <t>MAP-0041</t>
  </si>
  <si>
    <t>MAP-0042</t>
  </si>
  <si>
    <t>MAP-0043</t>
  </si>
  <si>
    <t>MAP-0044</t>
  </si>
  <si>
    <t>MAP-0045</t>
  </si>
  <si>
    <t>MAP-0046</t>
  </si>
  <si>
    <t>MAP-0047</t>
  </si>
  <si>
    <t>MAP-0048</t>
  </si>
  <si>
    <t>목적 입증</t>
  </si>
  <si>
    <t>MAP-0049</t>
  </si>
  <si>
    <t>MAP-0050</t>
  </si>
  <si>
    <t>MAP-0051</t>
  </si>
  <si>
    <t>MAP-0052</t>
  </si>
  <si>
    <t>MAP-0053</t>
  </si>
  <si>
    <t>MAP-0054</t>
  </si>
  <si>
    <t>MAP-0055</t>
  </si>
  <si>
    <t>MAP-0056</t>
  </si>
  <si>
    <t>MAP-0057</t>
  </si>
  <si>
    <t>MAP-0058</t>
  </si>
  <si>
    <t>MAP-0059</t>
  </si>
  <si>
    <t>MAP-0060</t>
  </si>
  <si>
    <t>보존연한 짧음</t>
  </si>
  <si>
    <t>MAP-0061</t>
  </si>
  <si>
    <t>MAP-0062</t>
  </si>
  <si>
    <t>MAP-0063</t>
  </si>
  <si>
    <t>MAP-0064</t>
  </si>
  <si>
    <t>MAP-0065</t>
  </si>
  <si>
    <t>MAP-0066</t>
  </si>
  <si>
    <t>MAP-0067</t>
  </si>
  <si>
    <t>MAP-0068</t>
  </si>
  <si>
    <t>MAP-0069</t>
  </si>
  <si>
    <t>MAP-0070</t>
  </si>
  <si>
    <t>MAP-0071</t>
  </si>
  <si>
    <r>
      <rPr>
        <sz val="9"/>
        <rFont val="Noto Sans CJK SC"/>
        <family val="2"/>
      </rPr>
      <t xml:space="preserve">선결죄명 </t>
    </r>
    <r>
      <rPr>
        <sz val="9"/>
        <rFont val="맑은 고딕"/>
        <family val="3"/>
        <charset val="129"/>
      </rPr>
      <t xml:space="preserve">F </t>
    </r>
    <r>
      <rPr>
        <sz val="9"/>
        <rFont val="Noto Sans CJK SC"/>
        <family val="2"/>
      </rPr>
      <t>세트 참조</t>
    </r>
  </si>
  <si>
    <t>MAP-0072</t>
  </si>
  <si>
    <t>MAP-0073</t>
  </si>
  <si>
    <t>MAP-0074</t>
  </si>
  <si>
    <t>MAP-0075</t>
  </si>
  <si>
    <t>MAP-0076</t>
  </si>
  <si>
    <t>정의 인식</t>
  </si>
  <si>
    <t>MAP-0077</t>
  </si>
  <si>
    <t>MAP-0078</t>
  </si>
  <si>
    <t>MAP-0079</t>
  </si>
  <si>
    <t>MAP-0080</t>
  </si>
  <si>
    <t>MAP-0081</t>
  </si>
  <si>
    <t>MAP-0082</t>
  </si>
  <si>
    <t>MAP-0083</t>
  </si>
  <si>
    <t>MAP-0084</t>
  </si>
  <si>
    <t>발급기관 회신 결정적</t>
  </si>
  <si>
    <t>MAP-0085</t>
  </si>
  <si>
    <t>MAP-0086</t>
  </si>
  <si>
    <t>MAP-0087</t>
  </si>
  <si>
    <t>MAP-0088</t>
  </si>
  <si>
    <t>MAP-0089</t>
  </si>
  <si>
    <t>MAP-0090</t>
  </si>
  <si>
    <t>MAP-0091</t>
  </si>
  <si>
    <t>MAP-0092</t>
  </si>
  <si>
    <t>MAP-0093</t>
  </si>
  <si>
    <t>MAP-0094</t>
  </si>
  <si>
    <t>MAP-0095</t>
  </si>
  <si>
    <t>MAP-0096</t>
  </si>
  <si>
    <t>MAP-0097</t>
  </si>
  <si>
    <t>MAP-0098</t>
  </si>
  <si>
    <t>MAP-0099</t>
  </si>
  <si>
    <t>MAP-0100</t>
  </si>
  <si>
    <t>MAP-0101</t>
  </si>
  <si>
    <t>MAP-0102</t>
  </si>
  <si>
    <t>MAP-0103</t>
  </si>
  <si>
    <t>MAP-0104</t>
  </si>
  <si>
    <t>MAP-0105</t>
  </si>
  <si>
    <t>MAP-0106</t>
  </si>
  <si>
    <t>MAP-0107</t>
  </si>
  <si>
    <t>MAP-0108</t>
  </si>
  <si>
    <t>MAP-0109</t>
  </si>
  <si>
    <t>MAP-0110</t>
  </si>
  <si>
    <t>MAP-0111</t>
  </si>
  <si>
    <t>MAP-0112</t>
  </si>
  <si>
    <t>MAP-0113</t>
  </si>
  <si>
    <t>MAP-0114</t>
  </si>
  <si>
    <t>MAP-0115</t>
  </si>
  <si>
    <t>MAP-0116</t>
  </si>
  <si>
    <t>MAP-0117</t>
  </si>
  <si>
    <t>MAP-0118</t>
  </si>
  <si>
    <t>MAP-0119</t>
  </si>
  <si>
    <t>MAP-0120</t>
  </si>
  <si>
    <t>MAP-0121</t>
  </si>
  <si>
    <t>MAP-0122</t>
  </si>
  <si>
    <t>MAP-0123</t>
  </si>
  <si>
    <t>MAP-0124</t>
  </si>
  <si>
    <t>MAP-0125</t>
  </si>
  <si>
    <t>MAP-0126</t>
  </si>
  <si>
    <t>MAP-0127</t>
  </si>
  <si>
    <t>MAP-0128</t>
  </si>
  <si>
    <r>
      <rPr>
        <b/>
        <sz val="10"/>
        <color rgb="FFFFFFFF"/>
        <rFont val="맑은 고딕"/>
        <family val="3"/>
        <charset val="129"/>
      </rPr>
      <t>P</t>
    </r>
    <r>
      <rPr>
        <b/>
        <sz val="10"/>
        <color rgb="FFFFFFFF"/>
        <rFont val="Noto Sans CJK SC"/>
        <family val="2"/>
      </rPr>
      <t>코드</t>
    </r>
  </si>
  <si>
    <r>
      <rPr>
        <b/>
        <sz val="10"/>
        <color rgb="FFFFFFFF"/>
        <rFont val="맑은 고딕"/>
        <family val="3"/>
        <charset val="129"/>
      </rPr>
      <t>M</t>
    </r>
    <r>
      <rPr>
        <b/>
        <sz val="10"/>
        <color rgb="FFFFFFFF"/>
        <rFont val="Noto Sans CJK SC"/>
        <family val="2"/>
      </rPr>
      <t>코드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수법</t>
    </r>
    <r>
      <rPr>
        <b/>
        <sz val="10"/>
        <color rgb="FFFFFFFF"/>
        <rFont val="맑은 고딕"/>
        <family val="3"/>
        <charset val="129"/>
      </rPr>
      <t>)</t>
    </r>
  </si>
  <si>
    <t>수법명</t>
  </si>
  <si>
    <r>
      <rPr>
        <b/>
        <sz val="10"/>
        <color rgb="FFFFFFFF"/>
        <rFont val="Noto Sans CJK SC"/>
        <family val="2"/>
      </rPr>
      <t xml:space="preserve">연결 </t>
    </r>
    <r>
      <rPr>
        <b/>
        <sz val="10"/>
        <color rgb="FFFFFFFF"/>
        <rFont val="맑은 고딕"/>
        <family val="3"/>
        <charset val="129"/>
      </rPr>
      <t>C</t>
    </r>
    <r>
      <rPr>
        <b/>
        <sz val="10"/>
        <color rgb="FFFFFFFF"/>
        <rFont val="Noto Sans CJK SC"/>
        <family val="2"/>
      </rPr>
      <t>코드</t>
    </r>
  </si>
  <si>
    <t>주구조</t>
  </si>
  <si>
    <t>부구조</t>
  </si>
  <si>
    <t>앵커</t>
  </si>
  <si>
    <r>
      <rPr>
        <b/>
        <sz val="10"/>
        <color rgb="FFFFFFFF"/>
        <rFont val="Noto Sans CJK SC"/>
        <family val="2"/>
      </rPr>
      <t>조건절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요지</t>
    </r>
    <r>
      <rPr>
        <b/>
        <sz val="10"/>
        <color rgb="FFFFFFFF"/>
        <rFont val="맑은 고딕"/>
        <family val="3"/>
        <charset val="129"/>
      </rPr>
      <t>)</t>
    </r>
  </si>
  <si>
    <t>반증조건</t>
  </si>
  <si>
    <t>호출 축</t>
  </si>
  <si>
    <t>요구 게이트</t>
  </si>
  <si>
    <t>실행구분</t>
  </si>
  <si>
    <t>관측창 유형</t>
  </si>
  <si>
    <t>관측창 값</t>
  </si>
  <si>
    <t>상태</t>
  </si>
  <si>
    <t>P-001</t>
  </si>
  <si>
    <t>M-C11-01</t>
  </si>
  <si>
    <t>저가신고</t>
  </si>
  <si>
    <t>S1</t>
  </si>
  <si>
    <t>S3</t>
  </si>
  <si>
    <r>
      <rPr>
        <sz val="9"/>
        <rFont val="Noto Sans CJK SC"/>
        <family val="2"/>
      </rPr>
      <t>수입자</t>
    </r>
    <r>
      <rPr>
        <sz val="9"/>
        <rFont val="맑은 고딕"/>
        <family val="3"/>
        <charset val="129"/>
      </rPr>
      <t>×HS6</t>
    </r>
  </si>
  <si>
    <r>
      <rPr>
        <sz val="9"/>
        <rFont val="Noto Sans CJK SC"/>
        <family val="2"/>
      </rPr>
      <t xml:space="preserve">신고단가 </t>
    </r>
    <r>
      <rPr>
        <sz val="9"/>
        <rFont val="맑은 고딕"/>
        <family val="3"/>
        <charset val="129"/>
      </rPr>
      <t xml:space="preserve">&lt; </t>
    </r>
    <r>
      <rPr>
        <sz val="9"/>
        <rFont val="Noto Sans CJK SC"/>
        <family val="2"/>
      </rPr>
      <t xml:space="preserve">동종물품 하위 </t>
    </r>
    <r>
      <rPr>
        <sz val="9"/>
        <rFont val="맑은 고딕"/>
        <family val="3"/>
        <charset val="129"/>
      </rPr>
      <t>10</t>
    </r>
    <r>
      <rPr>
        <sz val="9"/>
        <rFont val="Noto Sans CJK SC"/>
        <family val="2"/>
      </rPr>
      <t xml:space="preserve">분위 </t>
    </r>
    <r>
      <rPr>
        <sz val="9"/>
        <rFont val="맑은 고딕"/>
        <family val="3"/>
        <charset val="129"/>
      </rPr>
      <t xml:space="preserve">AND </t>
    </r>
    <r>
      <rPr>
        <sz val="9"/>
        <rFont val="Noto Sans CJK SC"/>
        <family val="2"/>
      </rPr>
      <t>동일 공급자 직전 단가 대비 급락</t>
    </r>
  </si>
  <si>
    <t>미작성</t>
  </si>
  <si>
    <t>A</t>
  </si>
  <si>
    <t>상시탐지</t>
  </si>
  <si>
    <t>고정기간</t>
  </si>
  <si>
    <r>
      <rPr>
        <sz val="9"/>
        <rFont val="맑은 고딕"/>
        <family val="3"/>
        <charset val="129"/>
      </rPr>
      <t>12</t>
    </r>
    <r>
      <rPr>
        <sz val="9"/>
        <rFont val="Noto Sans CJK SC"/>
        <family val="2"/>
      </rPr>
      <t>개월</t>
    </r>
  </si>
  <si>
    <t>초안</t>
  </si>
  <si>
    <t>P-002</t>
  </si>
  <si>
    <t>M-C11-02</t>
  </si>
  <si>
    <t>허위 인보이스</t>
  </si>
  <si>
    <t>S4</t>
  </si>
  <si>
    <t>거래쌍</t>
  </si>
  <si>
    <r>
      <rPr>
        <sz val="9"/>
        <rFont val="Noto Sans CJK SC"/>
        <family val="2"/>
      </rPr>
      <t>인보이스 합계 ≠ 대외 지급액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차액이 임계 초과</t>
    </r>
  </si>
  <si>
    <t>A·C</t>
  </si>
  <si>
    <t>조사심화</t>
  </si>
  <si>
    <r>
      <rPr>
        <sz val="9"/>
        <rFont val="맑은 고딕"/>
        <family val="3"/>
        <charset val="129"/>
      </rPr>
      <t>90</t>
    </r>
    <r>
      <rPr>
        <sz val="9"/>
        <rFont val="Noto Sans CJK SC"/>
        <family val="2"/>
      </rPr>
      <t>일</t>
    </r>
  </si>
  <si>
    <t>P-003</t>
  </si>
  <si>
    <t>M-C11-03</t>
  </si>
  <si>
    <t>품명 위장</t>
  </si>
  <si>
    <r>
      <rPr>
        <sz val="9"/>
        <rFont val="Noto Sans CJK SC"/>
        <family val="2"/>
      </rPr>
      <t>수입자</t>
    </r>
    <r>
      <rPr>
        <sz val="9"/>
        <rFont val="맑은 고딕"/>
        <family val="3"/>
        <charset val="129"/>
      </rPr>
      <t>×</t>
    </r>
    <r>
      <rPr>
        <sz val="9"/>
        <rFont val="Noto Sans CJK SC"/>
        <family val="2"/>
      </rPr>
      <t>공급자</t>
    </r>
  </si>
  <si>
    <t>동일 물품사양 유지 상태에서 신고세번만 저세율로 전환</t>
  </si>
  <si>
    <t>A·F</t>
  </si>
  <si>
    <r>
      <rPr>
        <sz val="9"/>
        <rFont val="맑은 고딕"/>
        <family val="3"/>
        <charset val="129"/>
      </rPr>
      <t>36</t>
    </r>
    <r>
      <rPr>
        <sz val="9"/>
        <rFont val="Noto Sans CJK SC"/>
        <family val="2"/>
      </rPr>
      <t>개월</t>
    </r>
  </si>
  <si>
    <t>P-004</t>
  </si>
  <si>
    <t>M-C11-04</t>
  </si>
  <si>
    <t>수량 조작</t>
  </si>
  <si>
    <t>신고건</t>
  </si>
  <si>
    <r>
      <rPr>
        <sz val="9"/>
        <rFont val="Noto Sans CJK SC"/>
        <family val="2"/>
      </rPr>
      <t>컨테이너 용적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총중량 대비 신고수량 환산 불일치</t>
    </r>
  </si>
  <si>
    <t>단건</t>
  </si>
  <si>
    <t>P-005</t>
  </si>
  <si>
    <t>M-C11-05</t>
  </si>
  <si>
    <t>원산지 세탁</t>
  </si>
  <si>
    <r>
      <rPr>
        <sz val="9"/>
        <rFont val="Noto Sans CJK SC"/>
        <family val="2"/>
      </rPr>
      <t>공급자</t>
    </r>
    <r>
      <rPr>
        <sz val="9"/>
        <rFont val="맑은 고딕"/>
        <family val="3"/>
        <charset val="129"/>
      </rPr>
      <t>×</t>
    </r>
    <r>
      <rPr>
        <sz val="9"/>
        <rFont val="Noto Sans CJK SC"/>
        <family val="2"/>
      </rPr>
      <t>경유국</t>
    </r>
  </si>
  <si>
    <r>
      <rPr>
        <sz val="9"/>
        <rFont val="Noto Sans CJK SC"/>
        <family val="2"/>
      </rPr>
      <t xml:space="preserve">제조국–선적국 불일치 </t>
    </r>
    <r>
      <rPr>
        <sz val="9"/>
        <rFont val="맑은 고딕"/>
        <family val="3"/>
        <charset val="129"/>
      </rPr>
      <t xml:space="preserve">AND </t>
    </r>
    <r>
      <rPr>
        <sz val="9"/>
        <rFont val="Noto Sans CJK SC"/>
        <family val="2"/>
      </rPr>
      <t>특정 시점 이후 경유국 신설</t>
    </r>
  </si>
  <si>
    <t>A·B</t>
  </si>
  <si>
    <t>P-006</t>
  </si>
  <si>
    <t>M-C11-06</t>
  </si>
  <si>
    <t>가산요소 누락</t>
  </si>
  <si>
    <t>특수관계 거래쌍</t>
  </si>
  <si>
    <r>
      <rPr>
        <sz val="9"/>
        <rFont val="Noto Sans CJK SC"/>
        <family val="2"/>
      </rPr>
      <t>로열티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 xml:space="preserve">지원비 지급 사실 존재 </t>
    </r>
    <r>
      <rPr>
        <sz val="9"/>
        <rFont val="맑은 고딕"/>
        <family val="3"/>
        <charset val="129"/>
      </rPr>
      <t xml:space="preserve">AND </t>
    </r>
    <r>
      <rPr>
        <sz val="9"/>
        <rFont val="Noto Sans CJK SC"/>
        <family val="2"/>
      </rPr>
      <t>신고 가산액 부재</t>
    </r>
  </si>
  <si>
    <t>A·C·D</t>
  </si>
  <si>
    <t>P-007</t>
  </si>
  <si>
    <t>M-C12-01</t>
  </si>
  <si>
    <t>자가사용 위장</t>
  </si>
  <si>
    <t>S2</t>
  </si>
  <si>
    <t>개인통관부호</t>
  </si>
  <si>
    <r>
      <rPr>
        <sz val="9"/>
        <rFont val="Noto Sans CJK SC"/>
        <family val="2"/>
      </rPr>
      <t>면세 한도 직하 반복 반입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동일 품목 누적 수량이 개인 소비 범위 초과</t>
    </r>
  </si>
  <si>
    <t>D</t>
  </si>
  <si>
    <t>P-008</t>
  </si>
  <si>
    <t>M-C12-02</t>
  </si>
  <si>
    <t>감면 목적 위반</t>
  </si>
  <si>
    <t>감면 승인건</t>
  </si>
  <si>
    <r>
      <rPr>
        <sz val="9"/>
        <rFont val="Noto Sans CJK SC"/>
        <family val="2"/>
      </rPr>
      <t xml:space="preserve">감면 용도 신고 </t>
    </r>
    <r>
      <rPr>
        <sz val="9"/>
        <rFont val="맑은 고딕"/>
        <family val="3"/>
        <charset val="129"/>
      </rPr>
      <t xml:space="preserve">AND </t>
    </r>
    <r>
      <rPr>
        <sz val="9"/>
        <rFont val="Noto Sans CJK SC"/>
        <family val="2"/>
      </rPr>
      <t>사후관리 기간 내 국내 매출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양도 흔적 존재</t>
    </r>
  </si>
  <si>
    <t>A·D·F</t>
  </si>
  <si>
    <t>이벤트기준</t>
  </si>
  <si>
    <t>사후관리기간</t>
  </si>
  <si>
    <t>P-009</t>
  </si>
  <si>
    <t>M-C13-01</t>
  </si>
  <si>
    <t>환급 신청건</t>
  </si>
  <si>
    <r>
      <rPr>
        <sz val="9"/>
        <rFont val="Noto Sans CJK SC"/>
        <family val="2"/>
      </rPr>
      <t xml:space="preserve">수입 원재료 ↔ 소요량 ↔ 수출품 </t>
    </r>
    <r>
      <rPr>
        <sz val="9"/>
        <rFont val="맑은 고딕"/>
        <family val="3"/>
        <charset val="129"/>
      </rPr>
      <t>3</t>
    </r>
    <r>
      <rPr>
        <sz val="9"/>
        <rFont val="Noto Sans CJK SC"/>
        <family val="2"/>
      </rPr>
      <t>자 대사에서 연결 결손</t>
    </r>
  </si>
  <si>
    <t>P-010</t>
  </si>
  <si>
    <t>M-C13-02</t>
  </si>
  <si>
    <t>과다 환급</t>
  </si>
  <si>
    <r>
      <rPr>
        <sz val="9"/>
        <rFont val="Noto Sans CJK SC"/>
        <family val="2"/>
      </rPr>
      <t>업체</t>
    </r>
    <r>
      <rPr>
        <sz val="9"/>
        <rFont val="맑은 고딕"/>
        <family val="3"/>
        <charset val="129"/>
      </rPr>
      <t>×</t>
    </r>
    <r>
      <rPr>
        <sz val="9"/>
        <rFont val="Noto Sans CJK SC"/>
        <family val="2"/>
      </rPr>
      <t>품목</t>
    </r>
  </si>
  <si>
    <t>소요량 원단위가 동종업종 분포 상위 이탈 후 유지</t>
  </si>
  <si>
    <t>P-011</t>
  </si>
  <si>
    <t>M-C52-01</t>
  </si>
  <si>
    <r>
      <rPr>
        <sz val="9"/>
        <rFont val="Noto Sans CJK SC"/>
        <family val="2"/>
      </rPr>
      <t>분할 반입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지재권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요건</t>
    </r>
    <r>
      <rPr>
        <sz val="9"/>
        <rFont val="맑은 고딕"/>
        <family val="3"/>
        <charset val="129"/>
      </rPr>
      <t>)</t>
    </r>
  </si>
  <si>
    <r>
      <rPr>
        <sz val="9"/>
        <rFont val="Noto Sans CJK SC"/>
        <family val="2"/>
      </rPr>
      <t>수취인</t>
    </r>
    <r>
      <rPr>
        <sz val="9"/>
        <rFont val="맑은 고딕"/>
        <family val="3"/>
        <charset val="129"/>
      </rPr>
      <t>×</t>
    </r>
    <r>
      <rPr>
        <sz val="9"/>
        <rFont val="Noto Sans CJK SC"/>
        <family val="2"/>
      </rPr>
      <t>배송지</t>
    </r>
  </si>
  <si>
    <r>
      <rPr>
        <sz val="9"/>
        <rFont val="Noto Sans CJK SC"/>
        <family val="2"/>
      </rPr>
      <t>목록통관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요건 임계 직하 다건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동일 품목 반복</t>
    </r>
  </si>
  <si>
    <t>B·D</t>
  </si>
  <si>
    <t>P-012</t>
  </si>
  <si>
    <t>M-C52-02</t>
  </si>
  <si>
    <t>전자상거래 악용</t>
  </si>
  <si>
    <t>S5</t>
  </si>
  <si>
    <r>
      <rPr>
        <sz val="9"/>
        <rFont val="Noto Sans CJK SC"/>
        <family val="2"/>
      </rPr>
      <t>배송지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연락처</t>
    </r>
  </si>
  <si>
    <r>
      <rPr>
        <sz val="9"/>
        <rFont val="Noto Sans CJK SC"/>
        <family val="2"/>
      </rPr>
      <t>상이한 통관부호 다수가 동일 배송지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연락처 공유</t>
    </r>
  </si>
  <si>
    <t>P-013</t>
  </si>
  <si>
    <t>M-C61-01</t>
  </si>
  <si>
    <t>환치기</t>
  </si>
  <si>
    <t>계좌군</t>
  </si>
  <si>
    <r>
      <rPr>
        <sz val="9"/>
        <rFont val="Noto Sans CJK SC"/>
        <family val="2"/>
      </rPr>
      <t xml:space="preserve">국내 다계좌 소액 분산 입출금 </t>
    </r>
    <r>
      <rPr>
        <sz val="9"/>
        <rFont val="맑은 고딕"/>
        <family val="3"/>
        <charset val="129"/>
      </rPr>
      <t xml:space="preserve">AND </t>
    </r>
    <r>
      <rPr>
        <sz val="9"/>
        <rFont val="Noto Sans CJK SC"/>
        <family val="2"/>
      </rPr>
      <t>대응 해외송금 기록 부재</t>
    </r>
  </si>
  <si>
    <t>C·D</t>
  </si>
  <si>
    <t>P-014</t>
  </si>
  <si>
    <t>M-C21-01</t>
  </si>
  <si>
    <t>운반책 이용</t>
  </si>
  <si>
    <t>여행자</t>
  </si>
  <si>
    <r>
      <rPr>
        <sz val="9"/>
        <rFont val="Noto Sans CJK SC"/>
        <family val="2"/>
      </rPr>
      <t xml:space="preserve">단기 왕복 반복 </t>
    </r>
    <r>
      <rPr>
        <sz val="9"/>
        <rFont val="맑은 고딕"/>
        <family val="3"/>
        <charset val="129"/>
      </rPr>
      <t xml:space="preserve">AND </t>
    </r>
    <r>
      <rPr>
        <sz val="9"/>
        <rFont val="Noto Sans CJK SC"/>
        <family val="2"/>
      </rPr>
      <t xml:space="preserve">항공권 결제자–탑승자 불일치 </t>
    </r>
    <r>
      <rPr>
        <sz val="9"/>
        <rFont val="맑은 고딕"/>
        <family val="3"/>
        <charset val="129"/>
      </rPr>
      <t xml:space="preserve">AND </t>
    </r>
    <r>
      <rPr>
        <sz val="9"/>
        <rFont val="Noto Sans CJK SC"/>
        <family val="2"/>
      </rPr>
      <t>동일 편 동반자 중복</t>
    </r>
  </si>
  <si>
    <t>P-015</t>
  </si>
  <si>
    <t>M-C41-01</t>
  </si>
  <si>
    <r>
      <rPr>
        <sz val="9"/>
        <rFont val="Noto Sans CJK SC"/>
        <family val="2"/>
      </rPr>
      <t>명의 전환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사업자 세탁</t>
    </r>
    <r>
      <rPr>
        <sz val="9"/>
        <rFont val="맑은 고딕"/>
        <family val="3"/>
        <charset val="129"/>
      </rPr>
      <t>)</t>
    </r>
  </si>
  <si>
    <r>
      <rPr>
        <sz val="9"/>
        <rFont val="Noto Sans CJK SC"/>
        <family val="2"/>
      </rPr>
      <t>사업자 식별자군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대표자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주소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연락처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계좌</t>
    </r>
    <r>
      <rPr>
        <sz val="9"/>
        <rFont val="맑은 고딕"/>
        <family val="3"/>
        <charset val="129"/>
      </rPr>
      <t>)</t>
    </r>
  </si>
  <si>
    <r>
      <rPr>
        <sz val="9"/>
        <rFont val="Noto Sans CJK SC"/>
        <family val="2"/>
      </rPr>
      <t>적발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행정제재 이력 업체와 식별자를 공유하는 신규 사업자가 종전 업체의 거래 속성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공급자</t>
    </r>
    <r>
      <rPr>
        <sz val="9"/>
        <rFont val="맑은 고딕"/>
        <family val="3"/>
        <charset val="129"/>
      </rPr>
      <t>·HS·</t>
    </r>
    <r>
      <rPr>
        <sz val="9"/>
        <rFont val="Noto Sans CJK SC"/>
        <family val="2"/>
      </rPr>
      <t>반입지</t>
    </r>
    <r>
      <rPr>
        <sz val="9"/>
        <rFont val="맑은 고딕"/>
        <family val="3"/>
        <charset val="129"/>
      </rPr>
      <t>)</t>
    </r>
    <r>
      <rPr>
        <sz val="9"/>
        <rFont val="Noto Sans CJK SC"/>
        <family val="2"/>
      </rPr>
      <t>을 승계한 채 단기간 내 수입 재개</t>
    </r>
  </si>
  <si>
    <r>
      <rPr>
        <sz val="9"/>
        <rFont val="Noto Sans CJK SC"/>
        <family val="2"/>
      </rPr>
      <t>적법한 사업 승계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합병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 xml:space="preserve">분할 </t>
    </r>
    <r>
      <rPr>
        <sz val="9"/>
        <rFont val="맑은 고딕"/>
        <family val="3"/>
        <charset val="129"/>
      </rPr>
      <t xml:space="preserve">/ </t>
    </r>
    <r>
      <rPr>
        <sz val="9"/>
        <rFont val="Noto Sans CJK SC"/>
        <family val="2"/>
      </rPr>
      <t xml:space="preserve">정상 재창업 </t>
    </r>
    <r>
      <rPr>
        <sz val="9"/>
        <rFont val="맑은 고딕"/>
        <family val="3"/>
        <charset val="129"/>
      </rPr>
      <t xml:space="preserve">/ </t>
    </r>
    <r>
      <rPr>
        <sz val="9"/>
        <rFont val="Noto Sans CJK SC"/>
        <family val="2"/>
      </rPr>
      <t>세무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 xml:space="preserve">통관 대리인 주소 </t>
    </r>
    <r>
      <rPr>
        <sz val="9"/>
        <rFont val="맑은 고딕"/>
        <family val="3"/>
        <charset val="129"/>
      </rPr>
      <t xml:space="preserve">/ </t>
    </r>
    <r>
      <rPr>
        <sz val="9"/>
        <rFont val="Noto Sans CJK SC"/>
        <family val="2"/>
      </rPr>
      <t>공유오피스 주소</t>
    </r>
  </si>
  <si>
    <t>D·A·B</t>
  </si>
  <si>
    <r>
      <rPr>
        <sz val="9"/>
        <rFont val="Noto Sans CJK SC"/>
        <family val="2"/>
      </rPr>
      <t xml:space="preserve">적발 시점 </t>
    </r>
    <r>
      <rPr>
        <sz val="9"/>
        <rFont val="맑은 고딕"/>
        <family val="3"/>
        <charset val="129"/>
      </rPr>
      <t>±36</t>
    </r>
    <r>
      <rPr>
        <sz val="9"/>
        <rFont val="Noto Sans CJK SC"/>
        <family val="2"/>
      </rPr>
      <t>개월</t>
    </r>
  </si>
  <si>
    <t>태그축</t>
  </si>
  <si>
    <t>태그값</t>
  </si>
  <si>
    <t>설명</t>
  </si>
  <si>
    <t>적용 대상</t>
  </si>
  <si>
    <r>
      <rPr>
        <sz val="9"/>
        <rFont val="맑은 고딕"/>
        <family val="3"/>
        <charset val="129"/>
      </rPr>
      <t>#</t>
    </r>
    <r>
      <rPr>
        <sz val="9"/>
        <rFont val="Noto Sans CJK SC"/>
        <family val="2"/>
      </rPr>
      <t>구조</t>
    </r>
  </si>
  <si>
    <t>동시조건형 — 단일 신고건 내 복수 조건 동시 충족</t>
  </si>
  <si>
    <t>패턴</t>
  </si>
  <si>
    <r>
      <rPr>
        <sz val="9"/>
        <rFont val="Noto Sans CJK SC"/>
        <family val="2"/>
      </rPr>
      <t>반복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분할형 — 임계값 직하 소액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소량 다건 반복</t>
    </r>
  </si>
  <si>
    <t>전환형 — 동일 앵커의 과거 행태 대비 급변</t>
  </si>
  <si>
    <r>
      <rPr>
        <sz val="9"/>
        <rFont val="Noto Sans CJK SC"/>
        <family val="2"/>
      </rPr>
      <t>결손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비대칭형 — 존재해야 할 대응 기록이 없음</t>
    </r>
  </si>
  <si>
    <r>
      <rPr>
        <sz val="9"/>
        <rFont val="Noto Sans CJK SC"/>
        <family val="2"/>
      </rPr>
      <t>공유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군집형 — 독립적이어야 할 주체가 식별자 공유</t>
    </r>
  </si>
  <si>
    <r>
      <rPr>
        <sz val="9"/>
        <rFont val="맑은 고딕"/>
        <family val="3"/>
        <charset val="129"/>
      </rPr>
      <t>#</t>
    </r>
    <r>
      <rPr>
        <sz val="9"/>
        <rFont val="Noto Sans CJK SC"/>
        <family val="2"/>
      </rPr>
      <t>앵커</t>
    </r>
  </si>
  <si>
    <t>수입자</t>
  </si>
  <si>
    <r>
      <rPr>
        <sz val="9"/>
        <rFont val="Noto Sans CJK SC"/>
        <family val="2"/>
      </rPr>
      <t>패턴이 고정되는 주체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객체</t>
    </r>
  </si>
  <si>
    <t>HS6</t>
  </si>
  <si>
    <t>배송지</t>
  </si>
  <si>
    <t>사업자 식별자군</t>
  </si>
  <si>
    <r>
      <rPr>
        <sz val="9"/>
        <rFont val="맑은 고딕"/>
        <family val="3"/>
        <charset val="129"/>
      </rPr>
      <t>#</t>
    </r>
    <r>
      <rPr>
        <sz val="9"/>
        <rFont val="Noto Sans CJK SC"/>
        <family val="2"/>
      </rPr>
      <t>축</t>
    </r>
  </si>
  <si>
    <r>
      <rPr>
        <sz val="9"/>
        <rFont val="Noto Sans CJK SC"/>
        <family val="2"/>
      </rPr>
      <t>정합성 — 신고값과 증빙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실물의 일치 검증</t>
    </r>
  </si>
  <si>
    <r>
      <rPr>
        <sz val="9"/>
        <rFont val="Noto Sans CJK SC"/>
        <family val="2"/>
      </rPr>
      <t>패턴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증거</t>
    </r>
  </si>
  <si>
    <t>B</t>
  </si>
  <si>
    <r>
      <rPr>
        <sz val="9"/>
        <rFont val="Noto Sans CJK SC"/>
        <family val="2"/>
      </rPr>
      <t>경로 — 물리적 이동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반입 채널</t>
    </r>
  </si>
  <si>
    <t>C</t>
  </si>
  <si>
    <r>
      <rPr>
        <sz val="9"/>
        <rFont val="Noto Sans CJK SC"/>
        <family val="2"/>
      </rPr>
      <t>자금 — 결제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송금 흐름</t>
    </r>
  </si>
  <si>
    <r>
      <rPr>
        <sz val="9"/>
        <rFont val="Noto Sans CJK SC"/>
        <family val="2"/>
      </rPr>
      <t>관계 — 인적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자본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거래 네트워크</t>
    </r>
  </si>
  <si>
    <t>E</t>
  </si>
  <si>
    <t>패턴 — 수법 서명 조합층</t>
  </si>
  <si>
    <t>F</t>
  </si>
  <si>
    <r>
      <rPr>
        <sz val="9"/>
        <rFont val="Noto Sans CJK SC"/>
        <family val="2"/>
      </rPr>
      <t>문서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지식 — 증빙 진위 및 수법 공급</t>
    </r>
  </si>
  <si>
    <r>
      <rPr>
        <sz val="9"/>
        <rFont val="맑은 고딕"/>
        <family val="3"/>
        <charset val="129"/>
      </rPr>
      <t>#</t>
    </r>
    <r>
      <rPr>
        <sz val="9"/>
        <rFont val="Noto Sans CJK SC"/>
        <family val="2"/>
      </rPr>
      <t>게이트</t>
    </r>
  </si>
  <si>
    <t>내부 보유자료 — 자동 수집</t>
  </si>
  <si>
    <r>
      <rPr>
        <sz val="9"/>
        <rFont val="Noto Sans CJK SC"/>
        <family val="2"/>
      </rPr>
      <t>수집행위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패턴</t>
    </r>
  </si>
  <si>
    <r>
      <rPr>
        <sz val="9"/>
        <rFont val="Noto Sans CJK SC"/>
        <family val="2"/>
      </rPr>
      <t>임의조사 — 제출요구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현장확인</t>
    </r>
  </si>
  <si>
    <r>
      <rPr>
        <sz val="9"/>
        <rFont val="Noto Sans CJK SC"/>
        <family val="2"/>
      </rPr>
      <t>별도 요건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허가 — 금융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통신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해외공조</t>
    </r>
  </si>
  <si>
    <t>범칙조사 — 영장 기반 강제</t>
  </si>
  <si>
    <r>
      <rPr>
        <sz val="9"/>
        <rFont val="맑은 고딕"/>
        <family val="3"/>
        <charset val="129"/>
      </rPr>
      <t>#</t>
    </r>
    <r>
      <rPr>
        <sz val="9"/>
        <rFont val="Noto Sans CJK SC"/>
        <family val="2"/>
      </rPr>
      <t>업종</t>
    </r>
  </si>
  <si>
    <t>전자</t>
  </si>
  <si>
    <r>
      <rPr>
        <sz val="9"/>
        <rFont val="Noto Sans CJK SC"/>
        <family val="2"/>
      </rPr>
      <t>이전가격 보고서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로열티 계약 자동 삽입</t>
    </r>
  </si>
  <si>
    <r>
      <rPr>
        <sz val="9"/>
        <rFont val="Noto Sans CJK SC"/>
        <family val="2"/>
      </rPr>
      <t>사건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가이드</t>
    </r>
  </si>
  <si>
    <r>
      <rPr>
        <sz val="9"/>
        <rFont val="Noto Sans CJK SC"/>
        <family val="2"/>
      </rPr>
      <t>식품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건기식</t>
    </r>
  </si>
  <si>
    <r>
      <rPr>
        <sz val="9"/>
        <rFont val="Noto Sans CJK SC"/>
        <family val="2"/>
      </rPr>
      <t xml:space="preserve">요건기관 인증 </t>
    </r>
    <r>
      <rPr>
        <sz val="9"/>
        <rFont val="맑은 고딕"/>
        <family val="3"/>
        <charset val="129"/>
      </rPr>
      <t xml:space="preserve">DB </t>
    </r>
    <r>
      <rPr>
        <sz val="9"/>
        <rFont val="Noto Sans CJK SC"/>
        <family val="2"/>
      </rPr>
      <t>대조 삽입</t>
    </r>
  </si>
  <si>
    <t>어린이제품</t>
  </si>
  <si>
    <r>
      <rPr>
        <sz val="9"/>
        <rFont val="맑은 고딕"/>
        <family val="3"/>
        <charset val="129"/>
      </rPr>
      <t xml:space="preserve">KC </t>
    </r>
    <r>
      <rPr>
        <sz val="9"/>
        <rFont val="Noto Sans CJK SC"/>
        <family val="2"/>
      </rPr>
      <t>안전인증 진위 확인 삽입</t>
    </r>
  </si>
  <si>
    <t>화훼</t>
  </si>
  <si>
    <r>
      <rPr>
        <sz val="9"/>
        <rFont val="Noto Sans CJK SC"/>
        <family val="2"/>
      </rPr>
      <t>경매가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공판장 시세 자료 삽입</t>
    </r>
  </si>
  <si>
    <t>농산물</t>
  </si>
  <si>
    <r>
      <rPr>
        <sz val="9"/>
        <rFont val="맑은 고딕"/>
        <family val="3"/>
        <charset val="129"/>
      </rPr>
      <t xml:space="preserve">TRQ </t>
    </r>
    <r>
      <rPr>
        <sz val="9"/>
        <rFont val="Noto Sans CJK SC"/>
        <family val="2"/>
      </rPr>
      <t>추천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도매시장 시세 자료 삽입</t>
    </r>
  </si>
  <si>
    <t>기타</t>
  </si>
  <si>
    <t>기본 세트만 적용</t>
  </si>
  <si>
    <r>
      <rPr>
        <sz val="9"/>
        <rFont val="맑은 고딕"/>
        <family val="3"/>
        <charset val="129"/>
      </rPr>
      <t>#</t>
    </r>
    <r>
      <rPr>
        <sz val="9"/>
        <rFont val="Noto Sans CJK SC"/>
        <family val="2"/>
      </rPr>
      <t>채널</t>
    </r>
  </si>
  <si>
    <t>일반수입</t>
  </si>
  <si>
    <t>수집 대상 자료의 분기 기준</t>
  </si>
  <si>
    <t>특송</t>
  </si>
  <si>
    <t>우편</t>
  </si>
  <si>
    <t>보세</t>
  </si>
  <si>
    <t>전자상거래</t>
  </si>
  <si>
    <r>
      <rPr>
        <sz val="9"/>
        <rFont val="맑은 고딕"/>
        <family val="3"/>
        <charset val="129"/>
      </rPr>
      <t>#</t>
    </r>
    <r>
      <rPr>
        <sz val="9"/>
        <rFont val="Noto Sans CJK SC"/>
        <family val="2"/>
      </rPr>
      <t>휘발성</t>
    </r>
  </si>
  <si>
    <t>보존연한 짧음 — 최우선 확보</t>
  </si>
  <si>
    <t>통상 확보</t>
  </si>
  <si>
    <t>장기 보존</t>
  </si>
  <si>
    <r>
      <rPr>
        <sz val="9"/>
        <rFont val="맑은 고딕"/>
        <family val="3"/>
        <charset val="129"/>
      </rPr>
      <t>#</t>
    </r>
    <r>
      <rPr>
        <sz val="9"/>
        <rFont val="Noto Sans CJK SC"/>
        <family val="2"/>
      </rPr>
      <t>상태</t>
    </r>
  </si>
  <si>
    <t>반증조건 미작성 등으로 운영 승인 전</t>
  </si>
  <si>
    <t>검증</t>
  </si>
  <si>
    <t>표본 검증 중</t>
  </si>
  <si>
    <t>운영</t>
  </si>
  <si>
    <t>상시 실행 중</t>
  </si>
  <si>
    <t>재검토</t>
  </si>
  <si>
    <t>정밀도 하한 미달로 자동 전환</t>
  </si>
  <si>
    <t>폐기</t>
  </si>
  <si>
    <t>실행 중단</t>
  </si>
  <si>
    <t>수집행위 유형</t>
  </si>
  <si>
    <t>권한 근거</t>
  </si>
  <si>
    <t>조사 성격</t>
  </si>
  <si>
    <t>자동 실행</t>
  </si>
  <si>
    <t>승인 필요</t>
  </si>
  <si>
    <r>
      <rPr>
        <sz val="9"/>
        <rFont val="Noto Sans CJK SC"/>
        <family val="2"/>
      </rPr>
      <t xml:space="preserve">세관 보유 행정자료 대사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신고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화물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여행자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환급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과세자료</t>
    </r>
    <r>
      <rPr>
        <sz val="9"/>
        <rFont val="맑은 고딕"/>
        <family val="3"/>
        <charset val="129"/>
      </rPr>
      <t>)</t>
    </r>
  </si>
  <si>
    <t>가능</t>
  </si>
  <si>
    <t>불요</t>
  </si>
  <si>
    <r>
      <rPr>
        <sz val="9"/>
        <rFont val="Noto Sans CJK SC"/>
        <family val="2"/>
      </rPr>
      <t>장부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계약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회계자료 제출요구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현품검사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감정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관계기관 조회</t>
    </r>
  </si>
  <si>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266</t>
    </r>
    <r>
      <rPr>
        <sz val="9"/>
        <rFont val="Noto Sans CJK SC"/>
        <family val="2"/>
      </rPr>
      <t>조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268</t>
    </r>
    <r>
      <rPr>
        <sz val="9"/>
        <rFont val="Noto Sans CJK SC"/>
        <family val="2"/>
      </rPr>
      <t>조</t>
    </r>
  </si>
  <si>
    <t>임의조사</t>
  </si>
  <si>
    <t>불가</t>
  </si>
  <si>
    <t>내부 결재</t>
  </si>
  <si>
    <r>
      <rPr>
        <sz val="9"/>
        <rFont val="Noto Sans CJK SC"/>
        <family val="2"/>
      </rPr>
      <t>금융거래정보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통신자료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해외 세관 공조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원산지 검증</t>
    </r>
  </si>
  <si>
    <r>
      <rPr>
        <sz val="9"/>
        <rFont val="Noto Sans CJK SC"/>
        <family val="2"/>
      </rPr>
      <t>금융실명법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통신비밀보호법</t>
    </r>
    <r>
      <rPr>
        <sz val="9"/>
        <rFont val="맑은 고딕"/>
        <family val="3"/>
        <charset val="129"/>
      </rPr>
      <t>, FTA</t>
    </r>
    <r>
      <rPr>
        <sz val="9"/>
        <rFont val="Noto Sans CJK SC"/>
        <family val="2"/>
      </rPr>
      <t>관세특례법</t>
    </r>
    <r>
      <rPr>
        <sz val="9"/>
        <rFont val="맑은 고딕"/>
        <family val="3"/>
        <charset val="129"/>
      </rPr>
      <t>, CMAA</t>
    </r>
  </si>
  <si>
    <r>
      <rPr>
        <sz val="9"/>
        <rFont val="Noto Sans CJK SC"/>
        <family val="2"/>
      </rPr>
      <t>별도 요건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허가</t>
    </r>
  </si>
  <si>
    <r>
      <rPr>
        <sz val="9"/>
        <rFont val="Noto Sans CJK SC"/>
        <family val="2"/>
      </rPr>
      <t>영장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허가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공조 절차</t>
    </r>
  </si>
  <si>
    <r>
      <rPr>
        <sz val="9"/>
        <rFont val="Noto Sans CJK SC"/>
        <family val="2"/>
      </rPr>
      <t>사업장 수색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압수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디지털 포렌식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피의자 신문</t>
    </r>
  </si>
  <si>
    <r>
      <rPr>
        <sz val="9"/>
        <rFont val="Noto Sans CJK SC"/>
        <family val="2"/>
      </rPr>
      <t>관세법 제</t>
    </r>
    <r>
      <rPr>
        <sz val="9"/>
        <rFont val="맑은 고딕"/>
        <family val="3"/>
        <charset val="129"/>
      </rPr>
      <t>296</t>
    </r>
    <r>
      <rPr>
        <sz val="9"/>
        <rFont val="Noto Sans CJK SC"/>
        <family val="2"/>
      </rPr>
      <t>조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제</t>
    </r>
    <r>
      <rPr>
        <sz val="9"/>
        <rFont val="맑은 고딕"/>
        <family val="3"/>
        <charset val="129"/>
      </rPr>
      <t>290~292</t>
    </r>
    <r>
      <rPr>
        <sz val="9"/>
        <rFont val="Noto Sans CJK SC"/>
        <family val="2"/>
      </rPr>
      <t>조</t>
    </r>
  </si>
  <si>
    <r>
      <rPr>
        <sz val="9"/>
        <rFont val="Noto Sans CJK SC"/>
        <family val="2"/>
      </rPr>
      <t>범칙조사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강제</t>
    </r>
    <r>
      <rPr>
        <sz val="9"/>
        <rFont val="맑은 고딕"/>
        <family val="3"/>
        <charset val="129"/>
      </rPr>
      <t>)</t>
    </r>
  </si>
  <si>
    <r>
      <rPr>
        <sz val="9"/>
        <rFont val="Noto Sans CJK SC"/>
        <family val="2"/>
      </rPr>
      <t xml:space="preserve">범칙전환 </t>
    </r>
    <r>
      <rPr>
        <sz val="9"/>
        <rFont val="맑은 고딕"/>
        <family val="3"/>
        <charset val="129"/>
      </rPr>
      <t xml:space="preserve">+ </t>
    </r>
    <r>
      <rPr>
        <sz val="9"/>
        <rFont val="Noto Sans CJK SC"/>
        <family val="2"/>
      </rPr>
      <t>영장</t>
    </r>
  </si>
  <si>
    <r>
      <rPr>
        <b/>
        <sz val="10"/>
        <color rgb="FFFFFFFF"/>
        <rFont val="Noto Sans CJK SC"/>
        <family val="2"/>
      </rPr>
      <t>규칙</t>
    </r>
    <r>
      <rPr>
        <b/>
        <sz val="10"/>
        <color rgb="FFFFFFFF"/>
        <rFont val="맑은 고딕"/>
        <family val="3"/>
        <charset val="129"/>
      </rPr>
      <t>ID</t>
    </r>
  </si>
  <si>
    <t>구분</t>
  </si>
  <si>
    <t>규칙명</t>
  </si>
  <si>
    <t>위반 시 조치</t>
  </si>
  <si>
    <t>R1</t>
  </si>
  <si>
    <t>단일수법</t>
  </si>
  <si>
    <r>
      <rPr>
        <sz val="9"/>
        <rFont val="맑은 고딕"/>
        <family val="3"/>
        <charset val="129"/>
      </rPr>
      <t xml:space="preserve">1 </t>
    </r>
    <r>
      <rPr>
        <sz val="9"/>
        <rFont val="Noto Sans CJK SC"/>
        <family val="2"/>
      </rPr>
      <t xml:space="preserve">패턴 </t>
    </r>
    <r>
      <rPr>
        <sz val="9"/>
        <rFont val="맑은 고딕"/>
        <family val="3"/>
        <charset val="129"/>
      </rPr>
      <t xml:space="preserve">= 1 </t>
    </r>
    <r>
      <rPr>
        <sz val="9"/>
        <rFont val="Noto Sans CJK SC"/>
        <family val="2"/>
      </rPr>
      <t>수법</t>
    </r>
    <r>
      <rPr>
        <sz val="9"/>
        <rFont val="맑은 고딕"/>
        <family val="3"/>
        <charset val="129"/>
      </rPr>
      <t xml:space="preserve">. </t>
    </r>
    <r>
      <rPr>
        <sz val="9"/>
        <rFont val="Noto Sans CJK SC"/>
        <family val="2"/>
      </rPr>
      <t>복수 수법 결합은 「복합 시나리오」 계층에서 처리</t>
    </r>
  </si>
  <si>
    <t>등록 반려</t>
  </si>
  <si>
    <t>R2</t>
  </si>
  <si>
    <t>구조배타</t>
  </si>
  <si>
    <r>
      <rPr>
        <sz val="9"/>
        <rFont val="Noto Sans CJK SC"/>
        <family val="2"/>
      </rPr>
      <t xml:space="preserve">주구조는 </t>
    </r>
    <r>
      <rPr>
        <sz val="9"/>
        <rFont val="맑은 고딕"/>
        <family val="3"/>
        <charset val="129"/>
      </rPr>
      <t xml:space="preserve">S1~S5 </t>
    </r>
    <r>
      <rPr>
        <sz val="9"/>
        <rFont val="Noto Sans CJK SC"/>
        <family val="2"/>
      </rPr>
      <t>중 정확히 하나</t>
    </r>
    <r>
      <rPr>
        <sz val="9"/>
        <rFont val="맑은 고딕"/>
        <family val="3"/>
        <charset val="129"/>
      </rPr>
      <t xml:space="preserve">. </t>
    </r>
    <r>
      <rPr>
        <sz val="9"/>
        <rFont val="Noto Sans CJK SC"/>
        <family val="2"/>
      </rPr>
      <t>나머지는 부구조로 기재</t>
    </r>
  </si>
  <si>
    <t>R3</t>
  </si>
  <si>
    <t>게이트분리</t>
  </si>
  <si>
    <r>
      <rPr>
        <sz val="9"/>
        <rFont val="Noto Sans CJK SC"/>
        <family val="2"/>
      </rPr>
      <t xml:space="preserve">상시탐지형은 </t>
    </r>
    <r>
      <rPr>
        <sz val="9"/>
        <rFont val="맑은 고딕"/>
        <family val="3"/>
        <charset val="129"/>
      </rPr>
      <t xml:space="preserve">G1 </t>
    </r>
    <r>
      <rPr>
        <sz val="9"/>
        <rFont val="Noto Sans CJK SC"/>
        <family val="2"/>
      </rPr>
      <t>데이터만 사용</t>
    </r>
    <r>
      <rPr>
        <sz val="9"/>
        <rFont val="맑은 고딕"/>
        <family val="3"/>
        <charset val="129"/>
      </rPr>
      <t xml:space="preserve">. G2 </t>
    </r>
    <r>
      <rPr>
        <sz val="9"/>
        <rFont val="Noto Sans CJK SC"/>
        <family val="2"/>
      </rPr>
      <t>이상을 조건절에 쓰면 조사심화형으로 강제 분류</t>
    </r>
  </si>
  <si>
    <t>자동 재분류</t>
  </si>
  <si>
    <t>R4</t>
  </si>
  <si>
    <t>반증조건 필수</t>
  </si>
  <si>
    <r>
      <rPr>
        <sz val="9"/>
        <rFont val="Noto Sans CJK SC"/>
        <family val="2"/>
      </rPr>
      <t xml:space="preserve">반증조건 없는 패턴은 운영 승인 불가 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초안 상태 고정</t>
    </r>
    <r>
      <rPr>
        <sz val="9"/>
        <rFont val="맑은 고딕"/>
        <family val="3"/>
        <charset val="129"/>
      </rPr>
      <t>)</t>
    </r>
  </si>
  <si>
    <t>승인 차단</t>
  </si>
  <si>
    <t>R5</t>
  </si>
  <si>
    <t>관측창 표준</t>
  </si>
  <si>
    <r>
      <rPr>
        <sz val="9"/>
        <rFont val="Noto Sans CJK SC"/>
        <family val="2"/>
      </rPr>
      <t xml:space="preserve">단건 </t>
    </r>
    <r>
      <rPr>
        <sz val="9"/>
        <rFont val="맑은 고딕"/>
        <family val="3"/>
        <charset val="129"/>
      </rPr>
      <t>/ 90</t>
    </r>
    <r>
      <rPr>
        <sz val="9"/>
        <rFont val="Noto Sans CJK SC"/>
        <family val="2"/>
      </rPr>
      <t xml:space="preserve">일 </t>
    </r>
    <r>
      <rPr>
        <sz val="9"/>
        <rFont val="맑은 고딕"/>
        <family val="3"/>
        <charset val="129"/>
      </rPr>
      <t>/ 12</t>
    </r>
    <r>
      <rPr>
        <sz val="9"/>
        <rFont val="Noto Sans CJK SC"/>
        <family val="2"/>
      </rPr>
      <t xml:space="preserve">개월 </t>
    </r>
    <r>
      <rPr>
        <sz val="9"/>
        <rFont val="맑은 고딕"/>
        <family val="3"/>
        <charset val="129"/>
      </rPr>
      <t>/ 36</t>
    </r>
    <r>
      <rPr>
        <sz val="9"/>
        <rFont val="Noto Sans CJK SC"/>
        <family val="2"/>
      </rPr>
      <t xml:space="preserve">개월 </t>
    </r>
    <r>
      <rPr>
        <sz val="9"/>
        <rFont val="맑은 고딕"/>
        <family val="3"/>
        <charset val="129"/>
      </rPr>
      <t xml:space="preserve">/ </t>
    </r>
    <r>
      <rPr>
        <sz val="9"/>
        <rFont val="Noto Sans CJK SC"/>
        <family val="2"/>
      </rPr>
      <t>이벤트기준</t>
    </r>
    <r>
      <rPr>
        <sz val="9"/>
        <rFont val="맑은 고딕"/>
        <family val="3"/>
        <charset val="129"/>
      </rPr>
      <t>(±n) 5</t>
    </r>
    <r>
      <rPr>
        <sz val="9"/>
        <rFont val="Noto Sans CJK SC"/>
        <family val="2"/>
      </rPr>
      <t>종만 허용</t>
    </r>
  </si>
  <si>
    <t>R6</t>
  </si>
  <si>
    <t>임계 외부화</t>
  </si>
  <si>
    <r>
      <rPr>
        <sz val="9"/>
        <rFont val="Noto Sans CJK SC"/>
        <family val="2"/>
      </rPr>
      <t>조건절에 상수 하드코딩 금지</t>
    </r>
    <r>
      <rPr>
        <sz val="9"/>
        <rFont val="맑은 고딕"/>
        <family val="3"/>
        <charset val="129"/>
      </rPr>
      <t xml:space="preserve">, </t>
    </r>
    <r>
      <rPr>
        <sz val="9"/>
        <rFont val="Noto Sans CJK SC"/>
        <family val="2"/>
      </rPr>
      <t>파라미터 테이블 참조만 허용</t>
    </r>
  </si>
  <si>
    <t>R7</t>
  </si>
  <si>
    <t>죄명연결 필수</t>
  </si>
  <si>
    <r>
      <rPr>
        <sz val="9"/>
        <rFont val="Noto Sans CJK SC"/>
        <family val="2"/>
      </rPr>
      <t>죄명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요증사실에 미연결된 패턴은 증거가이드 생성 대상에서 제외</t>
    </r>
  </si>
  <si>
    <t>가이드 미생성</t>
  </si>
  <si>
    <t>R8</t>
  </si>
  <si>
    <t>설명가능성</t>
  </si>
  <si>
    <r>
      <rPr>
        <sz val="9"/>
        <rFont val="Noto Sans CJK SC"/>
        <family val="2"/>
      </rPr>
      <t>조건절은 원자료로 환원 가능한 술어로만 구성</t>
    </r>
    <r>
      <rPr>
        <sz val="9"/>
        <rFont val="맑은 고딕"/>
        <family val="3"/>
        <charset val="129"/>
      </rPr>
      <t xml:space="preserve">. </t>
    </r>
    <r>
      <rPr>
        <sz val="9"/>
        <rFont val="Noto Sans CJK SC"/>
        <family val="2"/>
      </rPr>
      <t>학습모델 스코어는 보조지표로만 사용하며 단독 착수 근거 불가</t>
    </r>
  </si>
  <si>
    <t>착수 승인 차단</t>
  </si>
  <si>
    <t>R9</t>
  </si>
  <si>
    <t>버전불변</t>
  </si>
  <si>
    <r>
      <rPr>
        <sz val="9"/>
        <rFont val="Noto Sans CJK SC"/>
        <family val="2"/>
      </rPr>
      <t>운영 중 조건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임계 변경 시 신규 버전 발번</t>
    </r>
    <r>
      <rPr>
        <sz val="9"/>
        <rFont val="맑은 고딕"/>
        <family val="3"/>
        <charset val="129"/>
      </rPr>
      <t xml:space="preserve">. </t>
    </r>
    <r>
      <rPr>
        <sz val="9"/>
        <rFont val="Noto Sans CJK SC"/>
        <family val="2"/>
      </rPr>
      <t>과거 적중건은 적용 버전 보존</t>
    </r>
  </si>
  <si>
    <t>자동 발번</t>
  </si>
  <si>
    <t>R10</t>
  </si>
  <si>
    <t>감쇠관리</t>
  </si>
  <si>
    <r>
      <rPr>
        <sz val="9"/>
        <rFont val="Noto Sans CJK SC"/>
        <family val="2"/>
      </rPr>
      <t>정밀도가 하한 미달 시 자동 재검토 전환</t>
    </r>
    <r>
      <rPr>
        <sz val="9"/>
        <rFont val="맑은 고딕"/>
        <family val="3"/>
        <charset val="129"/>
      </rPr>
      <t>, n</t>
    </r>
    <r>
      <rPr>
        <sz val="9"/>
        <rFont val="Noto Sans CJK SC"/>
        <family val="2"/>
      </rPr>
      <t>분기 연속 미달 시 폐기 상정</t>
    </r>
  </si>
  <si>
    <t>자동 전환</t>
  </si>
  <si>
    <t>R-C1</t>
  </si>
  <si>
    <r>
      <rPr>
        <sz val="9"/>
        <rFont val="Noto Sans CJK SC"/>
        <family val="2"/>
      </rPr>
      <t xml:space="preserve">허위신고 </t>
    </r>
    <r>
      <rPr>
        <sz val="9"/>
        <rFont val="맑은 고딕"/>
        <family val="3"/>
        <charset val="129"/>
      </rPr>
      <t>3</t>
    </r>
    <r>
      <rPr>
        <sz val="9"/>
        <rFont val="Noto Sans CJK SC"/>
        <family val="2"/>
      </rPr>
      <t>분법</t>
    </r>
  </si>
  <si>
    <r>
      <rPr>
        <sz val="9"/>
        <rFont val="Noto Sans CJK SC"/>
        <family val="2"/>
      </rPr>
      <t xml:space="preserve">① 물품 동일성 부정 → </t>
    </r>
    <r>
      <rPr>
        <sz val="9"/>
        <rFont val="맑은 고딕"/>
        <family val="3"/>
        <charset val="129"/>
      </rPr>
      <t xml:space="preserve">C-21 </t>
    </r>
    <r>
      <rPr>
        <sz val="9"/>
        <rFont val="Noto Sans CJK SC"/>
        <family val="2"/>
      </rPr>
      <t xml:space="preserve">밀수입 </t>
    </r>
    <r>
      <rPr>
        <sz val="9"/>
        <rFont val="맑은 고딕"/>
        <family val="3"/>
        <charset val="129"/>
      </rPr>
      <t xml:space="preserve">/ ② </t>
    </r>
    <r>
      <rPr>
        <sz val="9"/>
        <rFont val="Noto Sans CJK SC"/>
        <family val="2"/>
      </rPr>
      <t xml:space="preserve">동일성은 인정되나 세액결정 영향 사항 허위 → </t>
    </r>
    <r>
      <rPr>
        <sz val="9"/>
        <rFont val="맑은 고딕"/>
        <family val="3"/>
        <charset val="129"/>
      </rPr>
      <t xml:space="preserve">C-11 </t>
    </r>
    <r>
      <rPr>
        <sz val="9"/>
        <rFont val="Noto Sans CJK SC"/>
        <family val="2"/>
      </rPr>
      <t xml:space="preserve">관세포탈 </t>
    </r>
    <r>
      <rPr>
        <sz val="9"/>
        <rFont val="맑은 고딕"/>
        <family val="3"/>
        <charset val="129"/>
      </rPr>
      <t xml:space="preserve">/ ③ </t>
    </r>
    <r>
      <rPr>
        <sz val="9"/>
        <rFont val="Noto Sans CJK SC"/>
        <family val="2"/>
      </rPr>
      <t>세액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 xml:space="preserve">통관적정 주요사항이 아닌 신고사항 허위 → </t>
    </r>
    <r>
      <rPr>
        <sz val="9"/>
        <rFont val="맑은 고딕"/>
        <family val="3"/>
        <charset val="129"/>
      </rPr>
      <t xml:space="preserve">C-34 </t>
    </r>
    <r>
      <rPr>
        <sz val="9"/>
        <rFont val="Noto Sans CJK SC"/>
        <family val="2"/>
      </rPr>
      <t>허위신고</t>
    </r>
    <r>
      <rPr>
        <sz val="9"/>
        <rFont val="맑은 고딕"/>
        <family val="3"/>
        <charset val="129"/>
      </rPr>
      <t xml:space="preserve">. </t>
    </r>
    <r>
      <rPr>
        <sz val="9"/>
        <rFont val="Noto Sans CJK SC"/>
        <family val="2"/>
      </rPr>
      <t>동일성 판단은 자동화하지 않고 조사관 확인 항목으로 제시</t>
    </r>
  </si>
  <si>
    <t>조사관 확인 필수</t>
  </si>
  <si>
    <t>R-C2</t>
  </si>
  <si>
    <t>목적 배타</t>
  </si>
  <si>
    <r>
      <rPr>
        <sz val="9"/>
        <rFont val="맑은 고딕"/>
        <family val="3"/>
        <charset val="129"/>
      </rPr>
      <t>C-11(</t>
    </r>
    <r>
      <rPr>
        <sz val="9"/>
        <rFont val="Noto Sans CJK SC"/>
        <family val="2"/>
      </rPr>
      <t>세액결정 영향 목적</t>
    </r>
    <r>
      <rPr>
        <sz val="9"/>
        <rFont val="맑은 고딕"/>
        <family val="3"/>
        <charset val="129"/>
      </rPr>
      <t>)</t>
    </r>
    <r>
      <rPr>
        <sz val="9"/>
        <rFont val="Noto Sans CJK SC"/>
        <family val="2"/>
      </rPr>
      <t xml:space="preserve">과 </t>
    </r>
    <r>
      <rPr>
        <sz val="9"/>
        <rFont val="맑은 고딕"/>
        <family val="3"/>
        <charset val="129"/>
      </rPr>
      <t>C-14(</t>
    </r>
    <r>
      <rPr>
        <sz val="9"/>
        <rFont val="Noto Sans CJK SC"/>
        <family val="2"/>
      </rPr>
      <t>재산상 이득 취득 목적</t>
    </r>
    <r>
      <rPr>
        <sz val="9"/>
        <rFont val="맑은 고딕"/>
        <family val="3"/>
        <charset val="129"/>
      </rPr>
      <t>)</t>
    </r>
    <r>
      <rPr>
        <sz val="9"/>
        <rFont val="Noto Sans CJK SC"/>
        <family val="2"/>
      </rPr>
      <t>는 배타 선택</t>
    </r>
    <r>
      <rPr>
        <sz val="9"/>
        <rFont val="맑은 고딕"/>
        <family val="3"/>
        <charset val="129"/>
      </rPr>
      <t xml:space="preserve">. </t>
    </r>
    <r>
      <rPr>
        <sz val="9"/>
        <rFont val="Noto Sans CJK SC"/>
        <family val="2"/>
      </rPr>
      <t>자동 확정 금지</t>
    </r>
  </si>
  <si>
    <t>조사관 선택 필수</t>
  </si>
  <si>
    <t>R-C3</t>
  </si>
  <si>
    <t>선결죄명</t>
  </si>
  <si>
    <r>
      <rPr>
        <sz val="9"/>
        <rFont val="맑은 고딕"/>
        <family val="3"/>
        <charset val="129"/>
      </rPr>
      <t>C-24</t>
    </r>
    <r>
      <rPr>
        <sz val="9"/>
        <rFont val="Noto Sans CJK SC"/>
        <family val="2"/>
      </rPr>
      <t>는 선결죄명</t>
    </r>
    <r>
      <rPr>
        <sz val="9"/>
        <rFont val="맑은 고딕"/>
        <family val="3"/>
        <charset val="129"/>
      </rPr>
      <t>(C-21~C-23)</t>
    </r>
    <r>
      <rPr>
        <sz val="9"/>
        <rFont val="Noto Sans CJK SC"/>
        <family val="2"/>
      </rPr>
      <t>이 확정되어야 후보로 제시</t>
    </r>
  </si>
  <si>
    <t>후보 제외</t>
  </si>
  <si>
    <t>R-C4</t>
  </si>
  <si>
    <t>병렬 성립</t>
  </si>
  <si>
    <r>
      <rPr>
        <sz val="9"/>
        <rFont val="Noto Sans CJK SC"/>
        <family val="2"/>
      </rPr>
      <t>관세법 죄명과 개별법</t>
    </r>
    <r>
      <rPr>
        <sz val="9"/>
        <rFont val="맑은 고딕"/>
        <family val="3"/>
        <charset val="129"/>
      </rPr>
      <t>(</t>
    </r>
    <r>
      <rPr>
        <sz val="9"/>
        <rFont val="Noto Sans CJK SC"/>
        <family val="2"/>
      </rPr>
      <t>대외무역법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상표법</t>
    </r>
    <r>
      <rPr>
        <sz val="9"/>
        <rFont val="맑은 고딕"/>
        <family val="3"/>
        <charset val="129"/>
      </rPr>
      <t>·</t>
    </r>
    <r>
      <rPr>
        <sz val="9"/>
        <rFont val="Noto Sans CJK SC"/>
        <family val="2"/>
      </rPr>
      <t>외국환거래법</t>
    </r>
    <r>
      <rPr>
        <sz val="9"/>
        <rFont val="맑은 고딕"/>
        <family val="3"/>
        <charset val="129"/>
      </rPr>
      <t xml:space="preserve">) </t>
    </r>
    <r>
      <rPr>
        <sz val="9"/>
        <rFont val="Noto Sans CJK SC"/>
        <family val="2"/>
      </rPr>
      <t>죄명은 병렬 성립 가능 — 배타 처리 금지</t>
    </r>
  </si>
  <si>
    <t>R-C5</t>
  </si>
  <si>
    <t>전개 완결성</t>
  </si>
  <si>
    <r>
      <rPr>
        <sz val="9"/>
        <rFont val="Noto Sans CJK SC"/>
        <family val="2"/>
      </rPr>
      <t xml:space="preserve">죄명 확정 시 </t>
    </r>
    <r>
      <rPr>
        <sz val="9"/>
        <rFont val="맑은 고딕"/>
        <family val="3"/>
        <charset val="129"/>
      </rPr>
      <t xml:space="preserve">F </t>
    </r>
    <r>
      <rPr>
        <sz val="9"/>
        <rFont val="Noto Sans CJK SC"/>
        <family val="2"/>
      </rPr>
      <t>세트 자동 전개</t>
    </r>
    <r>
      <rPr>
        <sz val="9"/>
        <rFont val="맑은 고딕"/>
        <family val="3"/>
        <charset val="129"/>
      </rPr>
      <t xml:space="preserve">. F-S </t>
    </r>
    <r>
      <rPr>
        <sz val="9"/>
        <rFont val="Noto Sans CJK SC"/>
        <family val="2"/>
      </rPr>
      <t xml:space="preserve">또는 </t>
    </r>
    <r>
      <rPr>
        <sz val="9"/>
        <rFont val="맑은 고딕"/>
        <family val="3"/>
        <charset val="129"/>
      </rPr>
      <t xml:space="preserve">F-P </t>
    </r>
    <r>
      <rPr>
        <sz val="9"/>
        <rFont val="Noto Sans CJK SC"/>
        <family val="2"/>
      </rPr>
      <t>계층 항목이 하나라도 미배정이면 증거계획을 미완성으로 표시</t>
    </r>
  </si>
  <si>
    <t>R-E1</t>
  </si>
  <si>
    <t>증거</t>
  </si>
  <si>
    <t>커버리지</t>
  </si>
  <si>
    <r>
      <rPr>
        <sz val="9"/>
        <rFont val="Noto Sans CJK SC"/>
        <family val="2"/>
      </rPr>
      <t xml:space="preserve">각 </t>
    </r>
    <r>
      <rPr>
        <sz val="9"/>
        <rFont val="맑은 고딕"/>
        <family val="3"/>
        <charset val="129"/>
      </rPr>
      <t>F</t>
    </r>
    <r>
      <rPr>
        <sz val="9"/>
        <rFont val="Noto Sans CJK SC"/>
        <family val="2"/>
      </rPr>
      <t xml:space="preserve">는 독립된 </t>
    </r>
    <r>
      <rPr>
        <sz val="9"/>
        <rFont val="맑은 고딕"/>
        <family val="3"/>
        <charset val="129"/>
      </rPr>
      <t>2</t>
    </r>
    <r>
      <rPr>
        <sz val="9"/>
        <rFont val="Noto Sans CJK SC"/>
        <family val="2"/>
      </rPr>
      <t>개 이상의 증거원으로 뒷받침</t>
    </r>
    <r>
      <rPr>
        <sz val="9"/>
        <rFont val="맑은 고딕"/>
        <family val="3"/>
        <charset val="129"/>
      </rPr>
      <t xml:space="preserve">. </t>
    </r>
    <r>
      <rPr>
        <sz val="9"/>
        <rFont val="Noto Sans CJK SC"/>
        <family val="2"/>
      </rPr>
      <t>업체 제출자료</t>
    </r>
    <r>
      <rPr>
        <sz val="9"/>
        <rFont val="맑은 고딕"/>
        <family val="3"/>
        <charset val="129"/>
      </rPr>
      <t>(E-2xx·E-3xx)</t>
    </r>
    <r>
      <rPr>
        <sz val="9"/>
        <rFont val="Noto Sans CJK SC"/>
        <family val="2"/>
      </rPr>
      <t xml:space="preserve">만으로 구성된 </t>
    </r>
    <r>
      <rPr>
        <sz val="9"/>
        <rFont val="맑은 고딕"/>
        <family val="3"/>
        <charset val="129"/>
      </rPr>
      <t>F</t>
    </r>
    <r>
      <rPr>
        <sz val="9"/>
        <rFont val="Noto Sans CJK SC"/>
        <family val="2"/>
      </rPr>
      <t>는 커버리지 미달 표시</t>
    </r>
  </si>
  <si>
    <t>경고</t>
  </si>
  <si>
    <t>R-E2</t>
  </si>
  <si>
    <t>외부증거 우선</t>
  </si>
  <si>
    <r>
      <rPr>
        <sz val="9"/>
        <rFont val="Noto Sans CJK SC"/>
        <family val="2"/>
      </rPr>
      <t>대상자가 통제할 수 없는 증거</t>
    </r>
    <r>
      <rPr>
        <sz val="9"/>
        <rFont val="맑은 고딕"/>
        <family val="3"/>
        <charset val="129"/>
      </rPr>
      <t>(E-1001, E-602, E-404)</t>
    </r>
    <r>
      <rPr>
        <sz val="9"/>
        <rFont val="Noto Sans CJK SC"/>
        <family val="2"/>
      </rPr>
      <t xml:space="preserve">가 하나도 없는 </t>
    </r>
    <r>
      <rPr>
        <sz val="9"/>
        <rFont val="맑은 고딕"/>
        <family val="3"/>
        <charset val="129"/>
      </rPr>
      <t>F</t>
    </r>
    <r>
      <rPr>
        <sz val="9"/>
        <rFont val="Noto Sans CJK SC"/>
        <family val="2"/>
      </rPr>
      <t>는 취약 요증사실로 경고</t>
    </r>
  </si>
  <si>
    <t>R-E3</t>
  </si>
  <si>
    <t>고의 필수</t>
  </si>
  <si>
    <r>
      <rPr>
        <sz val="9"/>
        <rFont val="맑은 고딕"/>
        <family val="3"/>
        <charset val="129"/>
      </rPr>
      <t xml:space="preserve">F-S </t>
    </r>
    <r>
      <rPr>
        <sz val="9"/>
        <rFont val="Noto Sans CJK SC"/>
        <family val="2"/>
      </rPr>
      <t>계층에 필수</t>
    </r>
    <r>
      <rPr>
        <sz val="9"/>
        <rFont val="맑은 고딕"/>
        <family val="3"/>
        <charset val="129"/>
      </rPr>
      <t xml:space="preserve">(◎) </t>
    </r>
    <r>
      <rPr>
        <sz val="9"/>
        <rFont val="Noto Sans CJK SC"/>
        <family val="2"/>
      </rPr>
      <t>증거가 하나도 배정되지 않은 증거계획은 승인 차단</t>
    </r>
  </si>
  <si>
    <t>R-E4</t>
  </si>
  <si>
    <t>게이트 정합</t>
  </si>
  <si>
    <r>
      <rPr>
        <sz val="9"/>
        <rFont val="Noto Sans CJK SC"/>
        <family val="2"/>
      </rPr>
      <t xml:space="preserve">계획된 </t>
    </r>
    <r>
      <rPr>
        <sz val="9"/>
        <rFont val="맑은 고딕"/>
        <family val="3"/>
        <charset val="129"/>
      </rPr>
      <t>A</t>
    </r>
    <r>
      <rPr>
        <sz val="9"/>
        <rFont val="Noto Sans CJK SC"/>
        <family val="2"/>
      </rPr>
      <t xml:space="preserve">의 게이트가 현재 조사단계를 초과하면 자동으로 「신청 필요」 상태 </t>
    </r>
    <r>
      <rPr>
        <sz val="9"/>
        <rFont val="맑은 고딕"/>
        <family val="3"/>
        <charset val="129"/>
      </rPr>
      <t xml:space="preserve">+ </t>
    </r>
    <r>
      <rPr>
        <sz val="9"/>
        <rFont val="Noto Sans CJK SC"/>
        <family val="2"/>
      </rPr>
      <t>신청서식 연결</t>
    </r>
  </si>
  <si>
    <t>자동 표시</t>
  </si>
  <si>
    <t>R-E5</t>
  </si>
  <si>
    <t>휘발성 선행</t>
  </si>
  <si>
    <r>
      <rPr>
        <sz val="9"/>
        <rFont val="Noto Sans CJK SC"/>
        <family val="2"/>
      </rPr>
      <t>휘발성 「상」 항목</t>
    </r>
    <r>
      <rPr>
        <sz val="9"/>
        <rFont val="맑은 고딕"/>
        <family val="3"/>
        <charset val="129"/>
      </rPr>
      <t>(E-4xx, E-5xx, E-8xx)</t>
    </r>
    <r>
      <rPr>
        <sz val="9"/>
        <rFont val="Noto Sans CJK SC"/>
        <family val="2"/>
      </rPr>
      <t>은 게이트 순서와 무관하게 최상단 배치</t>
    </r>
  </si>
  <si>
    <t>자동 정렬</t>
  </si>
  <si>
    <t>R-E6</t>
  </si>
  <si>
    <t>장기행위 즉시착수</t>
  </si>
  <si>
    <r>
      <rPr>
        <sz val="9"/>
        <rFont val="맑은 고딕"/>
        <family val="3"/>
        <charset val="129"/>
      </rPr>
      <t>A-07(</t>
    </r>
    <r>
      <rPr>
        <sz val="9"/>
        <rFont val="Noto Sans CJK SC"/>
        <family val="2"/>
      </rPr>
      <t>해외공조</t>
    </r>
    <r>
      <rPr>
        <sz val="9"/>
        <rFont val="맑은 고딕"/>
        <family val="3"/>
        <charset val="129"/>
      </rPr>
      <t>)·A-08(</t>
    </r>
    <r>
      <rPr>
        <sz val="9"/>
        <rFont val="Noto Sans CJK SC"/>
        <family val="2"/>
      </rPr>
      <t>원산지검증</t>
    </r>
    <r>
      <rPr>
        <sz val="9"/>
        <rFont val="맑은 고딕"/>
        <family val="3"/>
        <charset val="129"/>
      </rPr>
      <t>)</t>
    </r>
    <r>
      <rPr>
        <sz val="9"/>
        <rFont val="Noto Sans CJK SC"/>
        <family val="2"/>
      </rPr>
      <t>은 착수 당일 발송을 기본값으로 설정</t>
    </r>
  </si>
  <si>
    <t>자동 기한 설정</t>
  </si>
  <si>
    <t>R-E7</t>
  </si>
  <si>
    <t>채번 연동</t>
  </si>
  <si>
    <r>
      <rPr>
        <sz val="9"/>
        <rFont val="맑은 고딕"/>
        <family val="3"/>
        <charset val="129"/>
      </rPr>
      <t xml:space="preserve">E </t>
    </r>
    <r>
      <rPr>
        <sz val="9"/>
        <rFont val="Noto Sans CJK SC"/>
        <family val="2"/>
      </rPr>
      <t>확보 시 증거목록 번호를 자동 채번하고 범죄일람표 「증거」란에 역참조</t>
    </r>
  </si>
  <si>
    <t>자동 연동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</si>
</sst>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4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b/>
      <sz val="10"/>
      <color rgb="FFFFFFFF"/>
      <name val="Noto Sans CJK SC"/>
      <family val="2"/>
    </font>
    <font>
      <sz val="10"/>
      <name val="맑은 고딕"/>
      <family val="3"/>
      <charset val="129"/>
    </font>
    <font>
      <b/>
      <sz val="12"/>
      <color rgb="FF000000"/>
      <name val="Noto Sans CJK SC"/>
      <family val="2"/>
    </font>
    <font>
      <b/>
      <sz val="12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9"/>
      <name val="Noto Sans CJK SC"/>
      <family val="2"/>
    </font>
    <font>
      <b/>
      <sz val="9"/>
      <name val="맑은 고딕"/>
      <family val="3"/>
      <charset val="129"/>
    </font>
    <font>
      <b/>
      <sz val="9"/>
      <name val="Noto Sans CJK SC"/>
      <family val="2"/>
    </font>
    <font>
      <b/>
      <sz val="9"/>
      <color rgb="FFC00000"/>
      <name val="맑은 고딕"/>
      <family val="3"/>
      <charset val="129"/>
    </font>
    <font>
      <b/>
      <sz val="9"/>
      <color rgb="FFC00000"/>
      <name val="Noto Sans CJK SC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showGridLines="0" zoomScaleNormal="100" workbookViewId="0"/>
  </sheetViews>
  <sheetFormatPr defaultColWidth="8.7109375" defaultRowHeight="15"/>
  <cols>
    <col min="1" max="1" width="22" customWidth="1"/>
    <col min="2" max="2" width="62" customWidth="1"/>
    <col min="3" max="3" width="14" customWidth="1"/>
    <col min="4" max="4" width="30" customWidth="1"/>
  </cols>
  <sheetData>
    <row r="1" spans="1:4" ht="18">
      <c r="A1" s="1" t="s">
        <v>0</v>
      </c>
    </row>
    <row r="2" spans="1:4">
      <c r="A2" s="2" t="s">
        <v>1</v>
      </c>
      <c r="B2" s="3" t="s">
        <v>2</v>
      </c>
    </row>
    <row r="3" spans="1:4">
      <c r="A3" s="2" t="s">
        <v>3</v>
      </c>
      <c r="B3" s="4" t="s">
        <v>4</v>
      </c>
    </row>
    <row r="5" spans="1:4">
      <c r="A5" s="5" t="s">
        <v>5</v>
      </c>
      <c r="B5" s="6" t="s">
        <v>6</v>
      </c>
      <c r="C5" s="5" t="s">
        <v>7</v>
      </c>
      <c r="D5" s="5" t="s">
        <v>8</v>
      </c>
    </row>
    <row r="6" spans="1:4">
      <c r="A6" s="7" t="s">
        <v>9</v>
      </c>
      <c r="B6" s="4" t="s">
        <v>10</v>
      </c>
      <c r="C6" s="8">
        <f>COUNTA('01_C_죄명'!$A$2:$A$2000)</f>
        <v>19</v>
      </c>
      <c r="D6" s="7" t="s">
        <v>11</v>
      </c>
    </row>
    <row r="7" spans="1:4">
      <c r="A7" s="7" t="s">
        <v>12</v>
      </c>
      <c r="B7" s="4" t="s">
        <v>13</v>
      </c>
      <c r="C7" s="8">
        <f>COUNTA('02_F_요증사실'!$A$2:$A$2000)</f>
        <v>50</v>
      </c>
      <c r="D7" s="7" t="s">
        <v>14</v>
      </c>
    </row>
    <row r="8" spans="1:4">
      <c r="A8" s="7" t="s">
        <v>15</v>
      </c>
      <c r="B8" s="4" t="s">
        <v>16</v>
      </c>
      <c r="C8" s="8">
        <f>COUNTA('03_E_증거항목'!$A$2:$A$2000)</f>
        <v>56</v>
      </c>
      <c r="D8" s="7" t="s">
        <v>17</v>
      </c>
    </row>
    <row r="9" spans="1:4">
      <c r="A9" s="7" t="s">
        <v>18</v>
      </c>
      <c r="B9" s="4" t="s">
        <v>19</v>
      </c>
      <c r="C9" s="8">
        <f>COUNTA('04_A_수집행위'!$A$2:$A$2000)</f>
        <v>16</v>
      </c>
      <c r="D9" s="7" t="s">
        <v>20</v>
      </c>
    </row>
    <row r="10" spans="1:4">
      <c r="A10" s="7" t="s">
        <v>21</v>
      </c>
      <c r="B10" s="4" t="s">
        <v>22</v>
      </c>
      <c r="C10" s="8">
        <f>COUNTA('05_MAP_F-E-A'!$A$2:$A$2000)</f>
        <v>128</v>
      </c>
      <c r="D10" s="7" t="s">
        <v>23</v>
      </c>
    </row>
    <row r="11" spans="1:4">
      <c r="A11" s="7" t="s">
        <v>24</v>
      </c>
      <c r="B11" s="4" t="s">
        <v>25</v>
      </c>
      <c r="C11" s="8">
        <f>COUNTA('06_P_패턴'!$A$2:$A$2000)</f>
        <v>15</v>
      </c>
      <c r="D11" s="7" t="s">
        <v>26</v>
      </c>
    </row>
    <row r="12" spans="1:4">
      <c r="A12" s="7" t="s">
        <v>27</v>
      </c>
      <c r="B12" s="4" t="s">
        <v>28</v>
      </c>
      <c r="C12" s="8">
        <f>COUNTA('07_TAG_태그체계'!$A$2:$A$2000)</f>
        <v>47</v>
      </c>
      <c r="D12" s="7" t="s">
        <v>17</v>
      </c>
    </row>
    <row r="13" spans="1:4">
      <c r="A13" s="7" t="s">
        <v>29</v>
      </c>
      <c r="B13" s="4" t="s">
        <v>30</v>
      </c>
      <c r="C13" s="8">
        <f>COUNTA('08_G_게이트'!$A$2:$A$2000)</f>
        <v>4</v>
      </c>
      <c r="D13" s="7" t="s">
        <v>17</v>
      </c>
    </row>
    <row r="14" spans="1:4">
      <c r="A14" s="7" t="s">
        <v>31</v>
      </c>
      <c r="B14" s="4" t="s">
        <v>32</v>
      </c>
      <c r="C14" s="8">
        <f>COUNTA('09_R_규칙'!$A$2:$A$2000)</f>
        <v>22</v>
      </c>
      <c r="D14" s="7" t="s">
        <v>33</v>
      </c>
    </row>
    <row r="16" spans="1:4" ht="15.75">
      <c r="A16" s="9" t="s">
        <v>34</v>
      </c>
    </row>
    <row r="17" spans="1:2">
      <c r="A17" s="7" t="s">
        <v>35</v>
      </c>
      <c r="B17" s="4" t="s">
        <v>36</v>
      </c>
    </row>
    <row r="18" spans="1:2">
      <c r="A18" s="7" t="s">
        <v>37</v>
      </c>
      <c r="B18" s="4" t="s">
        <v>38</v>
      </c>
    </row>
    <row r="19" spans="1:2">
      <c r="A19" s="7" t="s">
        <v>39</v>
      </c>
      <c r="B19" s="4" t="s">
        <v>40</v>
      </c>
    </row>
    <row r="20" spans="1:2">
      <c r="A20" s="7" t="s">
        <v>41</v>
      </c>
      <c r="B20" s="4" t="s">
        <v>42</v>
      </c>
    </row>
    <row r="21" spans="1:2">
      <c r="A21" s="7" t="s">
        <v>43</v>
      </c>
      <c r="B21" s="4" t="s">
        <v>44</v>
      </c>
    </row>
    <row r="22" spans="1:2">
      <c r="A22" s="7" t="s">
        <v>45</v>
      </c>
      <c r="B22" s="4" t="s">
        <v>46</v>
      </c>
    </row>
    <row r="24" spans="1:2" ht="15.75">
      <c r="A24" s="9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  <row r="27" spans="1:2" ht="26.25">
      <c r="A27" s="2" t="s">
        <v>52</v>
      </c>
      <c r="B27" s="4" t="s">
        <v>53</v>
      </c>
    </row>
    <row r="29" spans="1:2" ht="17.25">
      <c r="A29" s="10" t="s">
        <v>54</v>
      </c>
    </row>
    <row r="30" spans="1:2" ht="26.25">
      <c r="A30" s="2"/>
      <c r="B30" s="4" t="s">
        <v>55</v>
      </c>
    </row>
    <row r="31" spans="1:2" ht="26.25">
      <c r="A31" s="2"/>
      <c r="B31" s="4" t="s">
        <v>56</v>
      </c>
    </row>
    <row r="32" spans="1:2">
      <c r="A32" s="2"/>
      <c r="B32" s="4" t="s">
        <v>57</v>
      </c>
    </row>
    <row r="33" spans="1:2">
      <c r="A33" s="2"/>
      <c r="B33" s="3" t="s">
        <v>58</v>
      </c>
    </row>
    <row r="34" spans="1:2" ht="26.25">
      <c r="A34" s="2"/>
      <c r="B34" s="3" t="s">
        <v>59</v>
      </c>
    </row>
    <row r="36" spans="1:2" ht="15.75">
      <c r="A36" s="9" t="s">
        <v>60</v>
      </c>
    </row>
    <row r="37" spans="1:2" ht="26.25">
      <c r="A37" s="2"/>
      <c r="B37" s="3" t="s">
        <v>61</v>
      </c>
    </row>
    <row r="38" spans="1:2">
      <c r="A38" s="2"/>
      <c r="B38" s="4" t="s">
        <v>62</v>
      </c>
    </row>
    <row r="39" spans="1:2" ht="27">
      <c r="A39" s="2"/>
      <c r="B39" s="4" t="s">
        <v>63</v>
      </c>
    </row>
    <row r="40" spans="1:2">
      <c r="A40" s="2"/>
      <c r="B40" s="3" t="s">
        <v>64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14" customWidth="1"/>
    <col min="3" max="3" width="18" customWidth="1"/>
    <col min="4" max="4" width="14" customWidth="1"/>
    <col min="5" max="5" width="18" customWidth="1"/>
    <col min="6" max="6" width="46" customWidth="1"/>
    <col min="7" max="7" width="14" customWidth="1"/>
    <col min="8" max="8" width="16" customWidth="1"/>
    <col min="9" max="9" width="14" customWidth="1"/>
    <col min="10" max="10" width="24" customWidth="1"/>
    <col min="11" max="11" width="12" customWidth="1"/>
    <col min="12" max="12" width="11" customWidth="1"/>
  </cols>
  <sheetData>
    <row r="1" spans="1:12" ht="30" customHeight="1">
      <c r="A1" s="11" t="s">
        <v>65</v>
      </c>
      <c r="B1" s="12" t="s">
        <v>66</v>
      </c>
      <c r="C1" s="12" t="s">
        <v>67</v>
      </c>
      <c r="D1" s="12" t="s">
        <v>68</v>
      </c>
      <c r="E1" s="12" t="s">
        <v>69</v>
      </c>
      <c r="F1" s="12" t="s">
        <v>70</v>
      </c>
      <c r="G1" s="12" t="s">
        <v>71</v>
      </c>
      <c r="H1" s="12" t="s">
        <v>72</v>
      </c>
      <c r="I1" s="12" t="s">
        <v>73</v>
      </c>
      <c r="J1" s="12" t="s">
        <v>74</v>
      </c>
      <c r="K1" s="11" t="s">
        <v>75</v>
      </c>
      <c r="L1" s="12" t="s">
        <v>76</v>
      </c>
    </row>
    <row r="2" spans="1:12" ht="24">
      <c r="A2" s="13" t="s">
        <v>77</v>
      </c>
      <c r="B2" s="14" t="s">
        <v>78</v>
      </c>
      <c r="C2" s="14" t="s">
        <v>79</v>
      </c>
      <c r="D2" s="14" t="s">
        <v>80</v>
      </c>
      <c r="E2" s="14" t="s">
        <v>81</v>
      </c>
      <c r="F2" s="15" t="s">
        <v>82</v>
      </c>
      <c r="G2" s="14" t="s">
        <v>83</v>
      </c>
      <c r="H2" s="13"/>
      <c r="I2" s="14" t="s">
        <v>84</v>
      </c>
      <c r="J2" s="14" t="s">
        <v>85</v>
      </c>
      <c r="K2" s="14" t="s">
        <v>86</v>
      </c>
      <c r="L2" s="16">
        <f>COUNTIF('02_F_요증사실'!$B$2:$B$1000,A2)</f>
        <v>7</v>
      </c>
    </row>
    <row r="3" spans="1:12" ht="24">
      <c r="A3" s="13" t="s">
        <v>87</v>
      </c>
      <c r="B3" s="14" t="s">
        <v>78</v>
      </c>
      <c r="C3" s="14" t="s">
        <v>88</v>
      </c>
      <c r="D3" s="14" t="s">
        <v>80</v>
      </c>
      <c r="E3" s="14" t="s">
        <v>89</v>
      </c>
      <c r="F3" s="15" t="s">
        <v>90</v>
      </c>
      <c r="G3" s="14" t="s">
        <v>83</v>
      </c>
      <c r="H3" s="13"/>
      <c r="I3" s="14" t="s">
        <v>84</v>
      </c>
      <c r="J3" s="14" t="s">
        <v>85</v>
      </c>
      <c r="K3" s="14" t="s">
        <v>86</v>
      </c>
      <c r="L3" s="16">
        <f>COUNTIF('02_F_요증사실'!$B$2:$B$1000,A3)</f>
        <v>5</v>
      </c>
    </row>
    <row r="4" spans="1:12" ht="24">
      <c r="A4" s="13" t="s">
        <v>91</v>
      </c>
      <c r="B4" s="14" t="s">
        <v>78</v>
      </c>
      <c r="C4" s="14" t="s">
        <v>92</v>
      </c>
      <c r="D4" s="14" t="s">
        <v>80</v>
      </c>
      <c r="E4" s="14" t="s">
        <v>93</v>
      </c>
      <c r="F4" s="15" t="s">
        <v>94</v>
      </c>
      <c r="G4" s="14" t="s">
        <v>83</v>
      </c>
      <c r="H4" s="13"/>
      <c r="I4" s="14" t="s">
        <v>84</v>
      </c>
      <c r="J4" s="14" t="s">
        <v>85</v>
      </c>
      <c r="K4" s="14" t="s">
        <v>86</v>
      </c>
      <c r="L4" s="16">
        <f>COUNTIF('02_F_요증사실'!$B$2:$B$1000,A4)</f>
        <v>5</v>
      </c>
    </row>
    <row r="5" spans="1:12">
      <c r="A5" s="13" t="s">
        <v>95</v>
      </c>
      <c r="B5" s="14" t="s">
        <v>78</v>
      </c>
      <c r="C5" s="14" t="s">
        <v>96</v>
      </c>
      <c r="D5" s="14" t="s">
        <v>80</v>
      </c>
      <c r="E5" s="14" t="s">
        <v>97</v>
      </c>
      <c r="F5" s="15" t="s">
        <v>98</v>
      </c>
      <c r="G5" s="14" t="s">
        <v>99</v>
      </c>
      <c r="H5" s="13"/>
      <c r="I5" s="14" t="s">
        <v>84</v>
      </c>
      <c r="J5" s="14" t="s">
        <v>85</v>
      </c>
      <c r="K5" s="14" t="s">
        <v>86</v>
      </c>
      <c r="L5" s="16">
        <f>COUNTIF('02_F_요증사실'!$B$2:$B$1000,A5)</f>
        <v>4</v>
      </c>
    </row>
    <row r="6" spans="1:12" ht="24">
      <c r="A6" s="13" t="s">
        <v>100</v>
      </c>
      <c r="B6" s="14" t="s">
        <v>101</v>
      </c>
      <c r="C6" s="14" t="s">
        <v>102</v>
      </c>
      <c r="D6" s="14" t="s">
        <v>80</v>
      </c>
      <c r="E6" s="14" t="s">
        <v>103</v>
      </c>
      <c r="F6" s="15" t="s">
        <v>104</v>
      </c>
      <c r="G6" s="14" t="s">
        <v>83</v>
      </c>
      <c r="H6" s="13"/>
      <c r="I6" s="14" t="s">
        <v>84</v>
      </c>
      <c r="J6" s="14" t="s">
        <v>105</v>
      </c>
      <c r="K6" s="14" t="s">
        <v>86</v>
      </c>
      <c r="L6" s="16">
        <f>COUNTIF('02_F_요증사실'!$B$2:$B$1000,A6)</f>
        <v>6</v>
      </c>
    </row>
    <row r="7" spans="1:12">
      <c r="A7" s="17" t="s">
        <v>106</v>
      </c>
      <c r="B7" s="18" t="s">
        <v>101</v>
      </c>
      <c r="C7" s="18" t="s">
        <v>107</v>
      </c>
      <c r="D7" s="18" t="s">
        <v>80</v>
      </c>
      <c r="E7" s="18" t="s">
        <v>108</v>
      </c>
      <c r="F7" s="19" t="s">
        <v>109</v>
      </c>
      <c r="G7" s="18" t="s">
        <v>83</v>
      </c>
      <c r="H7" s="17"/>
      <c r="I7" s="18" t="s">
        <v>84</v>
      </c>
      <c r="J7" s="18" t="s">
        <v>110</v>
      </c>
      <c r="K7" s="18" t="s">
        <v>111</v>
      </c>
      <c r="L7" s="20">
        <f>COUNTIF('02_F_요증사실'!$B$2:$B$1000,A7)</f>
        <v>0</v>
      </c>
    </row>
    <row r="8" spans="1:12">
      <c r="A8" s="17" t="s">
        <v>112</v>
      </c>
      <c r="B8" s="18" t="s">
        <v>101</v>
      </c>
      <c r="C8" s="18" t="s">
        <v>113</v>
      </c>
      <c r="D8" s="18" t="s">
        <v>80</v>
      </c>
      <c r="E8" s="18" t="s">
        <v>114</v>
      </c>
      <c r="F8" s="19" t="s">
        <v>115</v>
      </c>
      <c r="G8" s="18" t="s">
        <v>116</v>
      </c>
      <c r="H8" s="17"/>
      <c r="I8" s="18" t="s">
        <v>84</v>
      </c>
      <c r="J8" s="18" t="s">
        <v>110</v>
      </c>
      <c r="K8" s="18" t="s">
        <v>111</v>
      </c>
      <c r="L8" s="20">
        <f>COUNTIF('02_F_요증사실'!$B$2:$B$1000,A8)</f>
        <v>0</v>
      </c>
    </row>
    <row r="9" spans="1:12">
      <c r="A9" s="13" t="s">
        <v>117</v>
      </c>
      <c r="B9" s="14" t="s">
        <v>101</v>
      </c>
      <c r="C9" s="14" t="s">
        <v>118</v>
      </c>
      <c r="D9" s="14" t="s">
        <v>80</v>
      </c>
      <c r="E9" s="14" t="s">
        <v>119</v>
      </c>
      <c r="F9" s="15" t="s">
        <v>120</v>
      </c>
      <c r="G9" s="14" t="s">
        <v>83</v>
      </c>
      <c r="H9" s="13" t="s">
        <v>121</v>
      </c>
      <c r="I9" s="14" t="s">
        <v>84</v>
      </c>
      <c r="J9" s="14" t="s">
        <v>122</v>
      </c>
      <c r="K9" s="14" t="s">
        <v>86</v>
      </c>
      <c r="L9" s="16">
        <f>COUNTIF('02_F_요증사실'!$B$2:$B$1000,A9)</f>
        <v>4</v>
      </c>
    </row>
    <row r="10" spans="1:12" ht="24">
      <c r="A10" s="13" t="s">
        <v>123</v>
      </c>
      <c r="B10" s="14" t="s">
        <v>124</v>
      </c>
      <c r="C10" s="14" t="s">
        <v>125</v>
      </c>
      <c r="D10" s="14" t="s">
        <v>80</v>
      </c>
      <c r="E10" s="14" t="s">
        <v>126</v>
      </c>
      <c r="F10" s="15" t="s">
        <v>127</v>
      </c>
      <c r="G10" s="14" t="s">
        <v>83</v>
      </c>
      <c r="H10" s="13"/>
      <c r="I10" s="14" t="s">
        <v>84</v>
      </c>
      <c r="J10" s="14" t="s">
        <v>85</v>
      </c>
      <c r="K10" s="14" t="s">
        <v>86</v>
      </c>
      <c r="L10" s="16">
        <f>COUNTIF('02_F_요증사실'!$B$2:$B$1000,A10)</f>
        <v>4</v>
      </c>
    </row>
    <row r="11" spans="1:12" ht="24">
      <c r="A11" s="17" t="s">
        <v>128</v>
      </c>
      <c r="B11" s="18" t="s">
        <v>124</v>
      </c>
      <c r="C11" s="18" t="s">
        <v>129</v>
      </c>
      <c r="D11" s="18" t="s">
        <v>80</v>
      </c>
      <c r="E11" s="18" t="s">
        <v>130</v>
      </c>
      <c r="F11" s="19" t="s">
        <v>131</v>
      </c>
      <c r="G11" s="18" t="s">
        <v>99</v>
      </c>
      <c r="H11" s="17"/>
      <c r="I11" s="18" t="s">
        <v>84</v>
      </c>
      <c r="J11" s="18" t="s">
        <v>85</v>
      </c>
      <c r="K11" s="18" t="s">
        <v>111</v>
      </c>
      <c r="L11" s="20">
        <f>COUNTIF('02_F_요증사실'!$B$2:$B$1000,A11)</f>
        <v>0</v>
      </c>
    </row>
    <row r="12" spans="1:12">
      <c r="A12" s="17" t="s">
        <v>132</v>
      </c>
      <c r="B12" s="18" t="s">
        <v>124</v>
      </c>
      <c r="C12" s="18" t="s">
        <v>133</v>
      </c>
      <c r="D12" s="18" t="s">
        <v>80</v>
      </c>
      <c r="E12" s="18" t="s">
        <v>134</v>
      </c>
      <c r="F12" s="19" t="s">
        <v>135</v>
      </c>
      <c r="G12" s="18" t="s">
        <v>99</v>
      </c>
      <c r="H12" s="17"/>
      <c r="I12" s="18" t="s">
        <v>84</v>
      </c>
      <c r="J12" s="18" t="s">
        <v>85</v>
      </c>
      <c r="K12" s="18" t="s">
        <v>111</v>
      </c>
      <c r="L12" s="20">
        <f>COUNTIF('02_F_요증사실'!$B$2:$B$1000,A12)</f>
        <v>0</v>
      </c>
    </row>
    <row r="13" spans="1:12" ht="24">
      <c r="A13" s="17" t="s">
        <v>136</v>
      </c>
      <c r="B13" s="18" t="s">
        <v>137</v>
      </c>
      <c r="C13" s="18" t="s">
        <v>138</v>
      </c>
      <c r="D13" s="18" t="s">
        <v>80</v>
      </c>
      <c r="E13" s="18" t="s">
        <v>139</v>
      </c>
      <c r="F13" s="19" t="s">
        <v>140</v>
      </c>
      <c r="G13" s="18" t="s">
        <v>99</v>
      </c>
      <c r="H13" s="17"/>
      <c r="I13" s="18" t="s">
        <v>84</v>
      </c>
      <c r="J13" s="18" t="s">
        <v>85</v>
      </c>
      <c r="K13" s="18" t="s">
        <v>111</v>
      </c>
      <c r="L13" s="20">
        <f>COUNTIF('02_F_요증사실'!$B$2:$B$1000,A13)</f>
        <v>0</v>
      </c>
    </row>
    <row r="14" spans="1:12" ht="24">
      <c r="A14" s="13" t="s">
        <v>141</v>
      </c>
      <c r="B14" s="14" t="s">
        <v>137</v>
      </c>
      <c r="C14" s="14" t="s">
        <v>142</v>
      </c>
      <c r="D14" s="14" t="s">
        <v>80</v>
      </c>
      <c r="E14" s="14" t="s">
        <v>143</v>
      </c>
      <c r="F14" s="15" t="s">
        <v>144</v>
      </c>
      <c r="G14" s="14" t="s">
        <v>99</v>
      </c>
      <c r="H14" s="13"/>
      <c r="I14" s="14" t="s">
        <v>84</v>
      </c>
      <c r="J14" s="14" t="s">
        <v>85</v>
      </c>
      <c r="K14" s="14" t="s">
        <v>86</v>
      </c>
      <c r="L14" s="16">
        <f>COUNTIF('02_F_요증사실'!$B$2:$B$1000,A14)</f>
        <v>4</v>
      </c>
    </row>
    <row r="15" spans="1:12">
      <c r="A15" s="17" t="s">
        <v>145</v>
      </c>
      <c r="B15" s="18" t="s">
        <v>137</v>
      </c>
      <c r="C15" s="18" t="s">
        <v>146</v>
      </c>
      <c r="D15" s="18" t="s">
        <v>80</v>
      </c>
      <c r="E15" s="18" t="s">
        <v>147</v>
      </c>
      <c r="F15" s="19" t="s">
        <v>148</v>
      </c>
      <c r="G15" s="18" t="s">
        <v>99</v>
      </c>
      <c r="H15" s="17"/>
      <c r="I15" s="18" t="s">
        <v>84</v>
      </c>
      <c r="J15" s="18" t="s">
        <v>85</v>
      </c>
      <c r="K15" s="18" t="s">
        <v>111</v>
      </c>
      <c r="L15" s="20">
        <f>COUNTIF('02_F_요증사실'!$B$2:$B$1000,A15)</f>
        <v>0</v>
      </c>
    </row>
    <row r="16" spans="1:12">
      <c r="A16" s="17" t="s">
        <v>149</v>
      </c>
      <c r="B16" s="18" t="s">
        <v>150</v>
      </c>
      <c r="C16" s="18" t="s">
        <v>151</v>
      </c>
      <c r="D16" s="18" t="s">
        <v>152</v>
      </c>
      <c r="E16" s="18" t="s">
        <v>153</v>
      </c>
      <c r="F16" s="19" t="s">
        <v>154</v>
      </c>
      <c r="G16" s="18" t="s">
        <v>99</v>
      </c>
      <c r="H16" s="17"/>
      <c r="I16" s="18" t="s">
        <v>155</v>
      </c>
      <c r="J16" s="18" t="s">
        <v>85</v>
      </c>
      <c r="K16" s="18" t="s">
        <v>111</v>
      </c>
      <c r="L16" s="20">
        <f>COUNTIF('02_F_요증사실'!$B$2:$B$1000,A16)</f>
        <v>0</v>
      </c>
    </row>
    <row r="17" spans="1:12">
      <c r="A17" s="17" t="s">
        <v>156</v>
      </c>
      <c r="B17" s="18" t="s">
        <v>150</v>
      </c>
      <c r="C17" s="18" t="s">
        <v>157</v>
      </c>
      <c r="D17" s="18" t="s">
        <v>158</v>
      </c>
      <c r="E17" s="18" t="s">
        <v>159</v>
      </c>
      <c r="F17" s="19" t="s">
        <v>160</v>
      </c>
      <c r="G17" s="18" t="s">
        <v>99</v>
      </c>
      <c r="H17" s="17"/>
      <c r="I17" s="18" t="s">
        <v>161</v>
      </c>
      <c r="J17" s="18" t="s">
        <v>162</v>
      </c>
      <c r="K17" s="18" t="s">
        <v>111</v>
      </c>
      <c r="L17" s="20">
        <f>COUNTIF('02_F_요증사실'!$B$2:$B$1000,A17)</f>
        <v>0</v>
      </c>
    </row>
    <row r="18" spans="1:12">
      <c r="A18" s="13" t="s">
        <v>163</v>
      </c>
      <c r="B18" s="14" t="s">
        <v>164</v>
      </c>
      <c r="C18" s="14" t="s">
        <v>165</v>
      </c>
      <c r="D18" s="14" t="s">
        <v>166</v>
      </c>
      <c r="E18" s="14" t="s">
        <v>167</v>
      </c>
      <c r="F18" s="15" t="s">
        <v>168</v>
      </c>
      <c r="G18" s="14" t="s">
        <v>99</v>
      </c>
      <c r="H18" s="13"/>
      <c r="I18" s="14" t="s">
        <v>169</v>
      </c>
      <c r="J18" s="14" t="s">
        <v>170</v>
      </c>
      <c r="K18" s="14" t="s">
        <v>86</v>
      </c>
      <c r="L18" s="16">
        <f>COUNTIF('02_F_요증사실'!$B$2:$B$1000,A18)</f>
        <v>5</v>
      </c>
    </row>
    <row r="19" spans="1:12">
      <c r="A19" s="17" t="s">
        <v>171</v>
      </c>
      <c r="B19" s="18" t="s">
        <v>164</v>
      </c>
      <c r="C19" s="18" t="s">
        <v>172</v>
      </c>
      <c r="D19" s="18" t="s">
        <v>166</v>
      </c>
      <c r="E19" s="18" t="s">
        <v>173</v>
      </c>
      <c r="F19" s="19" t="s">
        <v>174</v>
      </c>
      <c r="G19" s="18" t="s">
        <v>99</v>
      </c>
      <c r="H19" s="17"/>
      <c r="I19" s="18" t="s">
        <v>169</v>
      </c>
      <c r="J19" s="18" t="s">
        <v>170</v>
      </c>
      <c r="K19" s="18" t="s">
        <v>111</v>
      </c>
      <c r="L19" s="20">
        <f>COUNTIF('02_F_요증사실'!$B$2:$B$1000,A19)</f>
        <v>0</v>
      </c>
    </row>
    <row r="20" spans="1:12" ht="24">
      <c r="A20" s="17" t="s">
        <v>175</v>
      </c>
      <c r="B20" s="18" t="s">
        <v>164</v>
      </c>
      <c r="C20" s="18" t="s">
        <v>176</v>
      </c>
      <c r="D20" s="18" t="s">
        <v>177</v>
      </c>
      <c r="E20" s="18" t="s">
        <v>178</v>
      </c>
      <c r="F20" s="19" t="s">
        <v>179</v>
      </c>
      <c r="G20" s="18" t="s">
        <v>180</v>
      </c>
      <c r="H20" s="17"/>
      <c r="I20" s="18" t="s">
        <v>169</v>
      </c>
      <c r="J20" s="18" t="s">
        <v>122</v>
      </c>
      <c r="K20" s="18" t="s">
        <v>111</v>
      </c>
      <c r="L20" s="20">
        <f>COUNTIF('02_F_요증사실'!$B$2:$B$1000,A20)</f>
        <v>0</v>
      </c>
    </row>
  </sheetData>
  <autoFilter ref="A1:L20" xr:uid="{00000000-0009-0000-0000-000001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2" customWidth="1"/>
    <col min="2" max="3" width="8" customWidth="1"/>
    <col min="4" max="4" width="66" customWidth="1"/>
    <col min="5" max="5" width="10" customWidth="1"/>
    <col min="6" max="6" width="24" customWidth="1"/>
    <col min="7" max="7" width="11" customWidth="1"/>
  </cols>
  <sheetData>
    <row r="1" spans="1:7" ht="30" customHeight="1">
      <c r="A1" s="11" t="s">
        <v>181</v>
      </c>
      <c r="B1" s="11" t="s">
        <v>65</v>
      </c>
      <c r="C1" s="12" t="s">
        <v>182</v>
      </c>
      <c r="D1" s="12" t="s">
        <v>183</v>
      </c>
      <c r="E1" s="12" t="s">
        <v>184</v>
      </c>
      <c r="F1" s="12" t="s">
        <v>185</v>
      </c>
      <c r="G1" s="12" t="s">
        <v>186</v>
      </c>
    </row>
    <row r="2" spans="1:7">
      <c r="A2" s="13" t="s">
        <v>187</v>
      </c>
      <c r="B2" s="13" t="s">
        <v>77</v>
      </c>
      <c r="C2" s="13" t="s">
        <v>188</v>
      </c>
      <c r="D2" s="15" t="s">
        <v>189</v>
      </c>
      <c r="E2" s="14" t="s">
        <v>190</v>
      </c>
      <c r="F2" s="13"/>
      <c r="G2" s="16">
        <f>COUNTIF('05_MAP_F-E-A'!$B$2:$B$2000,A2)</f>
        <v>2</v>
      </c>
    </row>
    <row r="3" spans="1:7" ht="24">
      <c r="A3" s="13" t="s">
        <v>191</v>
      </c>
      <c r="B3" s="13" t="s">
        <v>77</v>
      </c>
      <c r="C3" s="13" t="s">
        <v>188</v>
      </c>
      <c r="D3" s="15" t="s">
        <v>192</v>
      </c>
      <c r="E3" s="14" t="s">
        <v>193</v>
      </c>
      <c r="F3" s="13"/>
      <c r="G3" s="16">
        <f>COUNTIF('05_MAP_F-E-A'!$B$2:$B$2000,A3)</f>
        <v>5</v>
      </c>
    </row>
    <row r="4" spans="1:7">
      <c r="A4" s="13" t="s">
        <v>194</v>
      </c>
      <c r="B4" s="13" t="s">
        <v>77</v>
      </c>
      <c r="C4" s="13" t="s">
        <v>188</v>
      </c>
      <c r="D4" s="15" t="s">
        <v>195</v>
      </c>
      <c r="E4" s="14" t="s">
        <v>193</v>
      </c>
      <c r="F4" s="13" t="s">
        <v>196</v>
      </c>
      <c r="G4" s="16">
        <f>COUNTIF('05_MAP_F-E-A'!$B$2:$B$2000,A4)</f>
        <v>3</v>
      </c>
    </row>
    <row r="5" spans="1:7">
      <c r="A5" s="13" t="s">
        <v>197</v>
      </c>
      <c r="B5" s="13" t="s">
        <v>77</v>
      </c>
      <c r="C5" s="13" t="s">
        <v>188</v>
      </c>
      <c r="D5" s="15" t="s">
        <v>198</v>
      </c>
      <c r="E5" s="14" t="s">
        <v>193</v>
      </c>
      <c r="F5" s="13"/>
      <c r="G5" s="16">
        <f>COUNTIF('05_MAP_F-E-A'!$B$2:$B$2000,A5)</f>
        <v>3</v>
      </c>
    </row>
    <row r="6" spans="1:7">
      <c r="A6" s="13" t="s">
        <v>199</v>
      </c>
      <c r="B6" s="13" t="s">
        <v>77</v>
      </c>
      <c r="C6" s="21" t="s">
        <v>200</v>
      </c>
      <c r="D6" s="15" t="s">
        <v>201</v>
      </c>
      <c r="E6" s="14" t="s">
        <v>202</v>
      </c>
      <c r="F6" s="14" t="s">
        <v>203</v>
      </c>
      <c r="G6" s="16">
        <f>COUNTIF('05_MAP_F-E-A'!$B$2:$B$2000,A6)</f>
        <v>4</v>
      </c>
    </row>
    <row r="7" spans="1:7">
      <c r="A7" s="13" t="s">
        <v>204</v>
      </c>
      <c r="B7" s="13" t="s">
        <v>77</v>
      </c>
      <c r="C7" s="13" t="s">
        <v>205</v>
      </c>
      <c r="D7" s="15" t="s">
        <v>206</v>
      </c>
      <c r="E7" s="14" t="s">
        <v>190</v>
      </c>
      <c r="F7" s="13"/>
      <c r="G7" s="16">
        <f>COUNTIF('05_MAP_F-E-A'!$B$2:$B$2000,A7)</f>
        <v>1</v>
      </c>
    </row>
    <row r="8" spans="1:7">
      <c r="A8" s="13" t="s">
        <v>207</v>
      </c>
      <c r="B8" s="13" t="s">
        <v>77</v>
      </c>
      <c r="C8" s="13" t="s">
        <v>205</v>
      </c>
      <c r="D8" s="15" t="s">
        <v>208</v>
      </c>
      <c r="E8" s="14" t="s">
        <v>190</v>
      </c>
      <c r="F8" s="13"/>
      <c r="G8" s="16">
        <f>COUNTIF('05_MAP_F-E-A'!$B$2:$B$2000,A8)</f>
        <v>0</v>
      </c>
    </row>
    <row r="9" spans="1:7">
      <c r="A9" s="13" t="s">
        <v>209</v>
      </c>
      <c r="B9" s="13" t="s">
        <v>87</v>
      </c>
      <c r="C9" s="13" t="s">
        <v>188</v>
      </c>
      <c r="D9" s="15" t="s">
        <v>210</v>
      </c>
      <c r="E9" s="14" t="s">
        <v>190</v>
      </c>
      <c r="F9" s="13"/>
      <c r="G9" s="16">
        <f>COUNTIF('05_MAP_F-E-A'!$B$2:$B$2000,A9)</f>
        <v>1</v>
      </c>
    </row>
    <row r="10" spans="1:7">
      <c r="A10" s="13" t="s">
        <v>211</v>
      </c>
      <c r="B10" s="13" t="s">
        <v>87</v>
      </c>
      <c r="C10" s="13" t="s">
        <v>188</v>
      </c>
      <c r="D10" s="15" t="s">
        <v>212</v>
      </c>
      <c r="E10" s="14" t="s">
        <v>202</v>
      </c>
      <c r="F10" s="13"/>
      <c r="G10" s="16">
        <f>COUNTIF('05_MAP_F-E-A'!$B$2:$B$2000,A10)</f>
        <v>3</v>
      </c>
    </row>
    <row r="11" spans="1:7">
      <c r="A11" s="13" t="s">
        <v>213</v>
      </c>
      <c r="B11" s="13" t="s">
        <v>87</v>
      </c>
      <c r="C11" s="13" t="s">
        <v>188</v>
      </c>
      <c r="D11" s="15" t="s">
        <v>214</v>
      </c>
      <c r="E11" s="14" t="s">
        <v>190</v>
      </c>
      <c r="F11" s="13"/>
      <c r="G11" s="16">
        <f>COUNTIF('05_MAP_F-E-A'!$B$2:$B$2000,A11)</f>
        <v>2</v>
      </c>
    </row>
    <row r="12" spans="1:7">
      <c r="A12" s="13" t="s">
        <v>215</v>
      </c>
      <c r="B12" s="13" t="s">
        <v>87</v>
      </c>
      <c r="C12" s="21" t="s">
        <v>200</v>
      </c>
      <c r="D12" s="15" t="s">
        <v>216</v>
      </c>
      <c r="E12" s="14" t="s">
        <v>202</v>
      </c>
      <c r="F12" s="13"/>
      <c r="G12" s="16">
        <f>COUNTIF('05_MAP_F-E-A'!$B$2:$B$2000,A12)</f>
        <v>2</v>
      </c>
    </row>
    <row r="13" spans="1:7">
      <c r="A13" s="13" t="s">
        <v>217</v>
      </c>
      <c r="B13" s="13" t="s">
        <v>87</v>
      </c>
      <c r="C13" s="13" t="s">
        <v>205</v>
      </c>
      <c r="D13" s="15" t="s">
        <v>218</v>
      </c>
      <c r="E13" s="14" t="s">
        <v>193</v>
      </c>
      <c r="F13" s="13"/>
      <c r="G13" s="16">
        <f>COUNTIF('05_MAP_F-E-A'!$B$2:$B$2000,A13)</f>
        <v>3</v>
      </c>
    </row>
    <row r="14" spans="1:7">
      <c r="A14" s="13" t="s">
        <v>219</v>
      </c>
      <c r="B14" s="13" t="s">
        <v>91</v>
      </c>
      <c r="C14" s="13" t="s">
        <v>188</v>
      </c>
      <c r="D14" s="15" t="s">
        <v>220</v>
      </c>
      <c r="E14" s="14" t="s">
        <v>190</v>
      </c>
      <c r="F14" s="13"/>
      <c r="G14" s="16">
        <f>COUNTIF('05_MAP_F-E-A'!$B$2:$B$2000,A14)</f>
        <v>2</v>
      </c>
    </row>
    <row r="15" spans="1:7">
      <c r="A15" s="13" t="s">
        <v>221</v>
      </c>
      <c r="B15" s="13" t="s">
        <v>91</v>
      </c>
      <c r="C15" s="13" t="s">
        <v>188</v>
      </c>
      <c r="D15" s="15" t="s">
        <v>222</v>
      </c>
      <c r="E15" s="14" t="s">
        <v>193</v>
      </c>
      <c r="F15" s="13"/>
      <c r="G15" s="16">
        <f>COUNTIF('05_MAP_F-E-A'!$B$2:$B$2000,A15)</f>
        <v>4</v>
      </c>
    </row>
    <row r="16" spans="1:7">
      <c r="A16" s="13" t="s">
        <v>223</v>
      </c>
      <c r="B16" s="13" t="s">
        <v>91</v>
      </c>
      <c r="C16" s="13" t="s">
        <v>188</v>
      </c>
      <c r="D16" s="15" t="s">
        <v>224</v>
      </c>
      <c r="E16" s="14" t="s">
        <v>193</v>
      </c>
      <c r="F16" s="13"/>
      <c r="G16" s="16">
        <f>COUNTIF('05_MAP_F-E-A'!$B$2:$B$2000,A16)</f>
        <v>2</v>
      </c>
    </row>
    <row r="17" spans="1:7">
      <c r="A17" s="13" t="s">
        <v>225</v>
      </c>
      <c r="B17" s="13" t="s">
        <v>91</v>
      </c>
      <c r="C17" s="21" t="s">
        <v>200</v>
      </c>
      <c r="D17" s="15" t="s">
        <v>216</v>
      </c>
      <c r="E17" s="14" t="s">
        <v>202</v>
      </c>
      <c r="F17" s="13"/>
      <c r="G17" s="16">
        <f>COUNTIF('05_MAP_F-E-A'!$B$2:$B$2000,A17)</f>
        <v>3</v>
      </c>
    </row>
    <row r="18" spans="1:7">
      <c r="A18" s="13" t="s">
        <v>226</v>
      </c>
      <c r="B18" s="13" t="s">
        <v>91</v>
      </c>
      <c r="C18" s="13" t="s">
        <v>205</v>
      </c>
      <c r="D18" s="15" t="s">
        <v>227</v>
      </c>
      <c r="E18" s="14" t="s">
        <v>190</v>
      </c>
      <c r="F18" s="13"/>
      <c r="G18" s="16">
        <f>COUNTIF('05_MAP_F-E-A'!$B$2:$B$2000,A18)</f>
        <v>1</v>
      </c>
    </row>
    <row r="19" spans="1:7">
      <c r="A19" s="13" t="s">
        <v>228</v>
      </c>
      <c r="B19" s="13" t="s">
        <v>95</v>
      </c>
      <c r="C19" s="13" t="s">
        <v>188</v>
      </c>
      <c r="D19" s="15" t="s">
        <v>229</v>
      </c>
      <c r="E19" s="14" t="s">
        <v>190</v>
      </c>
      <c r="F19" s="13"/>
      <c r="G19" s="16">
        <f>COUNTIF('05_MAP_F-E-A'!$B$2:$B$2000,A19)</f>
        <v>3</v>
      </c>
    </row>
    <row r="20" spans="1:7">
      <c r="A20" s="13" t="s">
        <v>230</v>
      </c>
      <c r="B20" s="13" t="s">
        <v>95</v>
      </c>
      <c r="C20" s="13" t="s">
        <v>188</v>
      </c>
      <c r="D20" s="15" t="s">
        <v>231</v>
      </c>
      <c r="E20" s="14" t="s">
        <v>193</v>
      </c>
      <c r="F20" s="13"/>
      <c r="G20" s="16">
        <f>COUNTIF('05_MAP_F-E-A'!$B$2:$B$2000,A20)</f>
        <v>3</v>
      </c>
    </row>
    <row r="21" spans="1:7">
      <c r="A21" s="13" t="s">
        <v>232</v>
      </c>
      <c r="B21" s="13" t="s">
        <v>95</v>
      </c>
      <c r="C21" s="21" t="s">
        <v>200</v>
      </c>
      <c r="D21" s="15" t="s">
        <v>233</v>
      </c>
      <c r="E21" s="14" t="s">
        <v>202</v>
      </c>
      <c r="F21" s="13" t="s">
        <v>234</v>
      </c>
      <c r="G21" s="16">
        <f>COUNTIF('05_MAP_F-E-A'!$B$2:$B$2000,A21)</f>
        <v>4</v>
      </c>
    </row>
    <row r="22" spans="1:7">
      <c r="A22" s="13" t="s">
        <v>235</v>
      </c>
      <c r="B22" s="13" t="s">
        <v>95</v>
      </c>
      <c r="C22" s="13" t="s">
        <v>205</v>
      </c>
      <c r="D22" s="15" t="s">
        <v>236</v>
      </c>
      <c r="E22" s="14" t="s">
        <v>190</v>
      </c>
      <c r="F22" s="13"/>
      <c r="G22" s="16">
        <f>COUNTIF('05_MAP_F-E-A'!$B$2:$B$2000,A22)</f>
        <v>2</v>
      </c>
    </row>
    <row r="23" spans="1:7">
      <c r="A23" s="13" t="s">
        <v>237</v>
      </c>
      <c r="B23" s="13" t="s">
        <v>100</v>
      </c>
      <c r="C23" s="13" t="s">
        <v>188</v>
      </c>
      <c r="D23" s="15" t="s">
        <v>238</v>
      </c>
      <c r="E23" s="14" t="s">
        <v>190</v>
      </c>
      <c r="F23" s="13"/>
      <c r="G23" s="16">
        <f>COUNTIF('05_MAP_F-E-A'!$B$2:$B$2000,A23)</f>
        <v>4</v>
      </c>
    </row>
    <row r="24" spans="1:7">
      <c r="A24" s="13" t="s">
        <v>239</v>
      </c>
      <c r="B24" s="13" t="s">
        <v>100</v>
      </c>
      <c r="C24" s="13" t="s">
        <v>188</v>
      </c>
      <c r="D24" s="15" t="s">
        <v>240</v>
      </c>
      <c r="E24" s="14" t="s">
        <v>193</v>
      </c>
      <c r="F24" s="13"/>
      <c r="G24" s="16">
        <f>COUNTIF('05_MAP_F-E-A'!$B$2:$B$2000,A24)</f>
        <v>3</v>
      </c>
    </row>
    <row r="25" spans="1:7">
      <c r="A25" s="13" t="s">
        <v>241</v>
      </c>
      <c r="B25" s="13" t="s">
        <v>100</v>
      </c>
      <c r="C25" s="13" t="s">
        <v>188</v>
      </c>
      <c r="D25" s="15" t="s">
        <v>242</v>
      </c>
      <c r="E25" s="14" t="s">
        <v>202</v>
      </c>
      <c r="F25" s="13" t="s">
        <v>196</v>
      </c>
      <c r="G25" s="16">
        <f>COUNTIF('05_MAP_F-E-A'!$B$2:$B$2000,A25)</f>
        <v>3</v>
      </c>
    </row>
    <row r="26" spans="1:7">
      <c r="A26" s="13" t="s">
        <v>243</v>
      </c>
      <c r="B26" s="13" t="s">
        <v>100</v>
      </c>
      <c r="C26" s="21" t="s">
        <v>200</v>
      </c>
      <c r="D26" s="15" t="s">
        <v>244</v>
      </c>
      <c r="E26" s="14" t="s">
        <v>202</v>
      </c>
      <c r="F26" s="13"/>
      <c r="G26" s="16">
        <f>COUNTIF('05_MAP_F-E-A'!$B$2:$B$2000,A26)</f>
        <v>3</v>
      </c>
    </row>
    <row r="27" spans="1:7">
      <c r="A27" s="13" t="s">
        <v>245</v>
      </c>
      <c r="B27" s="13" t="s">
        <v>100</v>
      </c>
      <c r="C27" s="13" t="s">
        <v>205</v>
      </c>
      <c r="D27" s="15" t="s">
        <v>246</v>
      </c>
      <c r="E27" s="14" t="s">
        <v>193</v>
      </c>
      <c r="F27" s="13"/>
      <c r="G27" s="16">
        <f>COUNTIF('05_MAP_F-E-A'!$B$2:$B$2000,A27)</f>
        <v>2</v>
      </c>
    </row>
    <row r="28" spans="1:7">
      <c r="A28" s="13" t="s">
        <v>247</v>
      </c>
      <c r="B28" s="13" t="s">
        <v>100</v>
      </c>
      <c r="C28" s="13" t="s">
        <v>205</v>
      </c>
      <c r="D28" s="15" t="s">
        <v>248</v>
      </c>
      <c r="E28" s="14" t="s">
        <v>193</v>
      </c>
      <c r="F28" s="14" t="s">
        <v>249</v>
      </c>
      <c r="G28" s="16">
        <f>COUNTIF('05_MAP_F-E-A'!$B$2:$B$2000,A28)</f>
        <v>2</v>
      </c>
    </row>
    <row r="29" spans="1:7">
      <c r="A29" s="13" t="s">
        <v>250</v>
      </c>
      <c r="B29" s="13" t="s">
        <v>117</v>
      </c>
      <c r="C29" s="13" t="s">
        <v>188</v>
      </c>
      <c r="D29" s="15" t="s">
        <v>251</v>
      </c>
      <c r="E29" s="14" t="s">
        <v>202</v>
      </c>
      <c r="F29" s="14" t="s">
        <v>252</v>
      </c>
      <c r="G29" s="16">
        <f>COUNTIF('05_MAP_F-E-A'!$B$2:$B$2000,A29)</f>
        <v>1</v>
      </c>
    </row>
    <row r="30" spans="1:7">
      <c r="A30" s="13" t="s">
        <v>253</v>
      </c>
      <c r="B30" s="13" t="s">
        <v>117</v>
      </c>
      <c r="C30" s="13" t="s">
        <v>188</v>
      </c>
      <c r="D30" s="15" t="s">
        <v>254</v>
      </c>
      <c r="E30" s="14" t="s">
        <v>193</v>
      </c>
      <c r="F30" s="13"/>
      <c r="G30" s="16">
        <f>COUNTIF('05_MAP_F-E-A'!$B$2:$B$2000,A30)</f>
        <v>4</v>
      </c>
    </row>
    <row r="31" spans="1:7">
      <c r="A31" s="13" t="s">
        <v>255</v>
      </c>
      <c r="B31" s="13" t="s">
        <v>117</v>
      </c>
      <c r="C31" s="21" t="s">
        <v>200</v>
      </c>
      <c r="D31" s="15" t="s">
        <v>256</v>
      </c>
      <c r="E31" s="14" t="s">
        <v>202</v>
      </c>
      <c r="F31" s="14" t="s">
        <v>203</v>
      </c>
      <c r="G31" s="16">
        <f>COUNTIF('05_MAP_F-E-A'!$B$2:$B$2000,A31)</f>
        <v>4</v>
      </c>
    </row>
    <row r="32" spans="1:7">
      <c r="A32" s="13" t="s">
        <v>257</v>
      </c>
      <c r="B32" s="13" t="s">
        <v>117</v>
      </c>
      <c r="C32" s="13" t="s">
        <v>205</v>
      </c>
      <c r="D32" s="15" t="s">
        <v>258</v>
      </c>
      <c r="E32" s="14" t="s">
        <v>193</v>
      </c>
      <c r="F32" s="13"/>
      <c r="G32" s="16">
        <f>COUNTIF('05_MAP_F-E-A'!$B$2:$B$2000,A32)</f>
        <v>2</v>
      </c>
    </row>
    <row r="33" spans="1:7">
      <c r="A33" s="13" t="s">
        <v>259</v>
      </c>
      <c r="B33" s="13" t="s">
        <v>123</v>
      </c>
      <c r="C33" s="13" t="s">
        <v>188</v>
      </c>
      <c r="D33" s="15" t="s">
        <v>260</v>
      </c>
      <c r="E33" s="14" t="s">
        <v>190</v>
      </c>
      <c r="F33" s="13"/>
      <c r="G33" s="16">
        <f>COUNTIF('05_MAP_F-E-A'!$B$2:$B$2000,A33)</f>
        <v>2</v>
      </c>
    </row>
    <row r="34" spans="1:7">
      <c r="A34" s="13" t="s">
        <v>261</v>
      </c>
      <c r="B34" s="13" t="s">
        <v>123</v>
      </c>
      <c r="C34" s="13" t="s">
        <v>188</v>
      </c>
      <c r="D34" s="15" t="s">
        <v>262</v>
      </c>
      <c r="E34" s="14" t="s">
        <v>193</v>
      </c>
      <c r="F34" s="14" t="s">
        <v>263</v>
      </c>
      <c r="G34" s="16">
        <f>COUNTIF('05_MAP_F-E-A'!$B$2:$B$2000,A34)</f>
        <v>3</v>
      </c>
    </row>
    <row r="35" spans="1:7">
      <c r="A35" s="13" t="s">
        <v>264</v>
      </c>
      <c r="B35" s="13" t="s">
        <v>123</v>
      </c>
      <c r="C35" s="13" t="s">
        <v>188</v>
      </c>
      <c r="D35" s="15" t="s">
        <v>265</v>
      </c>
      <c r="E35" s="14" t="s">
        <v>190</v>
      </c>
      <c r="F35" s="13"/>
      <c r="G35" s="16">
        <f>COUNTIF('05_MAP_F-E-A'!$B$2:$B$2000,A35)</f>
        <v>2</v>
      </c>
    </row>
    <row r="36" spans="1:7">
      <c r="A36" s="13" t="s">
        <v>266</v>
      </c>
      <c r="B36" s="13" t="s">
        <v>123</v>
      </c>
      <c r="C36" s="21" t="s">
        <v>200</v>
      </c>
      <c r="D36" s="15" t="s">
        <v>267</v>
      </c>
      <c r="E36" s="14" t="s">
        <v>202</v>
      </c>
      <c r="F36" s="13"/>
      <c r="G36" s="16">
        <f>COUNTIF('05_MAP_F-E-A'!$B$2:$B$2000,A36)</f>
        <v>2</v>
      </c>
    </row>
    <row r="37" spans="1:7">
      <c r="A37" s="13" t="s">
        <v>268</v>
      </c>
      <c r="B37" s="13" t="s">
        <v>141</v>
      </c>
      <c r="C37" s="13" t="s">
        <v>188</v>
      </c>
      <c r="D37" s="15" t="s">
        <v>269</v>
      </c>
      <c r="E37" s="14" t="s">
        <v>190</v>
      </c>
      <c r="F37" s="13"/>
      <c r="G37" s="16">
        <f>COUNTIF('05_MAP_F-E-A'!$B$2:$B$2000,A37)</f>
        <v>3</v>
      </c>
    </row>
    <row r="38" spans="1:7">
      <c r="A38" s="13" t="s">
        <v>270</v>
      </c>
      <c r="B38" s="13" t="s">
        <v>141</v>
      </c>
      <c r="C38" s="13" t="s">
        <v>188</v>
      </c>
      <c r="D38" s="15" t="s">
        <v>271</v>
      </c>
      <c r="E38" s="14" t="s">
        <v>193</v>
      </c>
      <c r="F38" s="13" t="s">
        <v>272</v>
      </c>
      <c r="G38" s="16">
        <f>COUNTIF('05_MAP_F-E-A'!$B$2:$B$2000,A38)</f>
        <v>5</v>
      </c>
    </row>
    <row r="39" spans="1:7">
      <c r="A39" s="13" t="s">
        <v>273</v>
      </c>
      <c r="B39" s="13" t="s">
        <v>141</v>
      </c>
      <c r="C39" s="21" t="s">
        <v>200</v>
      </c>
      <c r="D39" s="15" t="s">
        <v>274</v>
      </c>
      <c r="E39" s="14" t="s">
        <v>202</v>
      </c>
      <c r="F39" s="13"/>
      <c r="G39" s="16">
        <f>COUNTIF('05_MAP_F-E-A'!$B$2:$B$2000,A39)</f>
        <v>3</v>
      </c>
    </row>
    <row r="40" spans="1:7">
      <c r="A40" s="13" t="s">
        <v>275</v>
      </c>
      <c r="B40" s="13" t="s">
        <v>141</v>
      </c>
      <c r="C40" s="13" t="s">
        <v>188</v>
      </c>
      <c r="D40" s="15" t="s">
        <v>276</v>
      </c>
      <c r="E40" s="14" t="s">
        <v>193</v>
      </c>
      <c r="F40" s="13"/>
      <c r="G40" s="16">
        <f>COUNTIF('05_MAP_F-E-A'!$B$2:$B$2000,A40)</f>
        <v>2</v>
      </c>
    </row>
    <row r="41" spans="1:7">
      <c r="A41" s="13" t="s">
        <v>277</v>
      </c>
      <c r="B41" s="13" t="s">
        <v>163</v>
      </c>
      <c r="C41" s="13" t="s">
        <v>188</v>
      </c>
      <c r="D41" s="15" t="s">
        <v>278</v>
      </c>
      <c r="E41" s="14" t="s">
        <v>193</v>
      </c>
      <c r="F41" s="13"/>
      <c r="G41" s="16">
        <f>COUNTIF('05_MAP_F-E-A'!$B$2:$B$2000,A41)</f>
        <v>3</v>
      </c>
    </row>
    <row r="42" spans="1:7">
      <c r="A42" s="13" t="s">
        <v>279</v>
      </c>
      <c r="B42" s="13" t="s">
        <v>163</v>
      </c>
      <c r="C42" s="13" t="s">
        <v>188</v>
      </c>
      <c r="D42" s="15" t="s">
        <v>280</v>
      </c>
      <c r="E42" s="14" t="s">
        <v>193</v>
      </c>
      <c r="F42" s="13"/>
      <c r="G42" s="16">
        <f>COUNTIF('05_MAP_F-E-A'!$B$2:$B$2000,A42)</f>
        <v>2</v>
      </c>
    </row>
    <row r="43" spans="1:7">
      <c r="A43" s="13" t="s">
        <v>281</v>
      </c>
      <c r="B43" s="13" t="s">
        <v>163</v>
      </c>
      <c r="C43" s="13" t="s">
        <v>188</v>
      </c>
      <c r="D43" s="15" t="s">
        <v>282</v>
      </c>
      <c r="E43" s="14" t="s">
        <v>202</v>
      </c>
      <c r="F43" s="14" t="s">
        <v>283</v>
      </c>
      <c r="G43" s="16">
        <f>COUNTIF('05_MAP_F-E-A'!$B$2:$B$2000,A43)</f>
        <v>4</v>
      </c>
    </row>
    <row r="44" spans="1:7">
      <c r="A44" s="13" t="s">
        <v>284</v>
      </c>
      <c r="B44" s="13" t="s">
        <v>163</v>
      </c>
      <c r="C44" s="13" t="s">
        <v>188</v>
      </c>
      <c r="D44" s="15" t="s">
        <v>285</v>
      </c>
      <c r="E44" s="14" t="s">
        <v>190</v>
      </c>
      <c r="F44" s="13"/>
      <c r="G44" s="16">
        <f>COUNTIF('05_MAP_F-E-A'!$B$2:$B$2000,A44)</f>
        <v>1</v>
      </c>
    </row>
    <row r="45" spans="1:7">
      <c r="A45" s="13" t="s">
        <v>286</v>
      </c>
      <c r="B45" s="13" t="s">
        <v>163</v>
      </c>
      <c r="C45" s="21" t="s">
        <v>200</v>
      </c>
      <c r="D45" s="15" t="s">
        <v>287</v>
      </c>
      <c r="E45" s="14" t="s">
        <v>202</v>
      </c>
      <c r="F45" s="13"/>
      <c r="G45" s="16">
        <f>COUNTIF('05_MAP_F-E-A'!$B$2:$B$2000,A45)</f>
        <v>2</v>
      </c>
    </row>
    <row r="46" spans="1:7">
      <c r="A46" s="13" t="s">
        <v>288</v>
      </c>
      <c r="B46" s="13" t="s">
        <v>289</v>
      </c>
      <c r="C46" s="21" t="s">
        <v>200</v>
      </c>
      <c r="D46" s="15" t="s">
        <v>290</v>
      </c>
      <c r="E46" s="14" t="s">
        <v>202</v>
      </c>
      <c r="F46" s="14" t="s">
        <v>291</v>
      </c>
      <c r="G46" s="16">
        <f>COUNTIF('05_MAP_F-E-A'!$B$2:$B$2000,A46)</f>
        <v>3</v>
      </c>
    </row>
    <row r="47" spans="1:7">
      <c r="A47" s="13" t="s">
        <v>292</v>
      </c>
      <c r="B47" s="13" t="s">
        <v>289</v>
      </c>
      <c r="C47" s="13" t="s">
        <v>188</v>
      </c>
      <c r="D47" s="15" t="s">
        <v>293</v>
      </c>
      <c r="E47" s="14" t="s">
        <v>202</v>
      </c>
      <c r="F47" s="14" t="s">
        <v>294</v>
      </c>
      <c r="G47" s="16">
        <f>COUNTIF('05_MAP_F-E-A'!$B$2:$B$2000,A47)</f>
        <v>3</v>
      </c>
    </row>
    <row r="48" spans="1:7">
      <c r="A48" s="13" t="s">
        <v>295</v>
      </c>
      <c r="B48" s="13" t="s">
        <v>289</v>
      </c>
      <c r="C48" s="13" t="s">
        <v>188</v>
      </c>
      <c r="D48" s="15" t="s">
        <v>296</v>
      </c>
      <c r="E48" s="14" t="s">
        <v>193</v>
      </c>
      <c r="F48" s="14" t="s">
        <v>297</v>
      </c>
      <c r="G48" s="16">
        <f>COUNTIF('05_MAP_F-E-A'!$B$2:$B$2000,A48)</f>
        <v>3</v>
      </c>
    </row>
    <row r="49" spans="1:7">
      <c r="A49" s="13" t="s">
        <v>298</v>
      </c>
      <c r="B49" s="13" t="s">
        <v>289</v>
      </c>
      <c r="C49" s="13" t="s">
        <v>205</v>
      </c>
      <c r="D49" s="15" t="s">
        <v>299</v>
      </c>
      <c r="E49" s="14" t="s">
        <v>190</v>
      </c>
      <c r="F49" s="14" t="s">
        <v>300</v>
      </c>
      <c r="G49" s="16">
        <f>COUNTIF('05_MAP_F-E-A'!$B$2:$B$2000,A49)</f>
        <v>0</v>
      </c>
    </row>
    <row r="50" spans="1:7">
      <c r="A50" s="13" t="s">
        <v>301</v>
      </c>
      <c r="B50" s="13" t="s">
        <v>289</v>
      </c>
      <c r="C50" s="13" t="s">
        <v>205</v>
      </c>
      <c r="D50" s="15" t="s">
        <v>302</v>
      </c>
      <c r="E50" s="14" t="s">
        <v>190</v>
      </c>
      <c r="F50" s="14" t="s">
        <v>291</v>
      </c>
      <c r="G50" s="16">
        <f>COUNTIF('05_MAP_F-E-A'!$B$2:$B$2000,A50)</f>
        <v>2</v>
      </c>
    </row>
    <row r="51" spans="1:7">
      <c r="A51" s="13" t="s">
        <v>303</v>
      </c>
      <c r="B51" s="13" t="s">
        <v>289</v>
      </c>
      <c r="C51" s="13" t="s">
        <v>205</v>
      </c>
      <c r="D51" s="15" t="s">
        <v>304</v>
      </c>
      <c r="E51" s="14" t="s">
        <v>193</v>
      </c>
      <c r="F51" s="14" t="s">
        <v>305</v>
      </c>
      <c r="G51" s="16">
        <f>COUNTIF('05_MAP_F-E-A'!$B$2:$B$2000,A51)</f>
        <v>2</v>
      </c>
    </row>
  </sheetData>
  <autoFilter ref="A1:G51" xr:uid="{00000000-0009-0000-0000-000002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customWidth="1"/>
    <col min="2" max="2" width="12" customWidth="1"/>
    <col min="3" max="3" width="34" customWidth="1"/>
    <col min="4" max="4" width="18" customWidth="1"/>
    <col min="5" max="5" width="8" customWidth="1"/>
    <col min="6" max="6" width="12" customWidth="1"/>
    <col min="7" max="7" width="30" customWidth="1"/>
  </cols>
  <sheetData>
    <row r="1" spans="1:7" ht="30" customHeight="1">
      <c r="A1" s="11" t="s">
        <v>306</v>
      </c>
      <c r="B1" s="12" t="s">
        <v>307</v>
      </c>
      <c r="C1" s="12" t="s">
        <v>308</v>
      </c>
      <c r="D1" s="12" t="s">
        <v>309</v>
      </c>
      <c r="E1" s="12" t="s">
        <v>310</v>
      </c>
      <c r="F1" s="12" t="s">
        <v>311</v>
      </c>
      <c r="G1" s="12" t="s">
        <v>185</v>
      </c>
    </row>
    <row r="2" spans="1:7">
      <c r="A2" s="13" t="s">
        <v>312</v>
      </c>
      <c r="B2" s="14" t="s">
        <v>313</v>
      </c>
      <c r="C2" s="14" t="s">
        <v>314</v>
      </c>
      <c r="D2" s="14" t="s">
        <v>315</v>
      </c>
      <c r="E2" s="14" t="s">
        <v>190</v>
      </c>
      <c r="F2" s="13" t="s">
        <v>316</v>
      </c>
      <c r="G2" s="13"/>
    </row>
    <row r="3" spans="1:7">
      <c r="A3" s="13" t="s">
        <v>317</v>
      </c>
      <c r="B3" s="14" t="s">
        <v>313</v>
      </c>
      <c r="C3" s="14" t="s">
        <v>318</v>
      </c>
      <c r="D3" s="14" t="s">
        <v>315</v>
      </c>
      <c r="E3" s="14" t="s">
        <v>190</v>
      </c>
      <c r="F3" s="13" t="s">
        <v>316</v>
      </c>
      <c r="G3" s="13"/>
    </row>
    <row r="4" spans="1:7">
      <c r="A4" s="13" t="s">
        <v>319</v>
      </c>
      <c r="B4" s="14" t="s">
        <v>313</v>
      </c>
      <c r="C4" s="14" t="s">
        <v>320</v>
      </c>
      <c r="D4" s="14" t="s">
        <v>315</v>
      </c>
      <c r="E4" s="14" t="s">
        <v>190</v>
      </c>
      <c r="F4" s="13" t="s">
        <v>316</v>
      </c>
      <c r="G4" s="13"/>
    </row>
    <row r="5" spans="1:7">
      <c r="A5" s="13" t="s">
        <v>321</v>
      </c>
      <c r="B5" s="14" t="s">
        <v>313</v>
      </c>
      <c r="C5" s="14" t="s">
        <v>322</v>
      </c>
      <c r="D5" s="14" t="s">
        <v>315</v>
      </c>
      <c r="E5" s="14" t="s">
        <v>190</v>
      </c>
      <c r="F5" s="13" t="s">
        <v>316</v>
      </c>
      <c r="G5" s="13"/>
    </row>
    <row r="6" spans="1:7">
      <c r="A6" s="13" t="s">
        <v>323</v>
      </c>
      <c r="B6" s="14" t="s">
        <v>313</v>
      </c>
      <c r="C6" s="14" t="s">
        <v>324</v>
      </c>
      <c r="D6" s="14" t="s">
        <v>315</v>
      </c>
      <c r="E6" s="14" t="s">
        <v>190</v>
      </c>
      <c r="F6" s="13" t="s">
        <v>316</v>
      </c>
      <c r="G6" s="13"/>
    </row>
    <row r="7" spans="1:7">
      <c r="A7" s="13" t="s">
        <v>325</v>
      </c>
      <c r="B7" s="14" t="s">
        <v>313</v>
      </c>
      <c r="C7" s="14" t="s">
        <v>326</v>
      </c>
      <c r="D7" s="14" t="s">
        <v>315</v>
      </c>
      <c r="E7" s="14" t="s">
        <v>190</v>
      </c>
      <c r="F7" s="13" t="s">
        <v>316</v>
      </c>
      <c r="G7" s="13"/>
    </row>
    <row r="8" spans="1:7">
      <c r="A8" s="13" t="s">
        <v>327</v>
      </c>
      <c r="B8" s="14" t="s">
        <v>313</v>
      </c>
      <c r="C8" s="14" t="s">
        <v>328</v>
      </c>
      <c r="D8" s="14" t="s">
        <v>315</v>
      </c>
      <c r="E8" s="14" t="s">
        <v>190</v>
      </c>
      <c r="F8" s="13" t="s">
        <v>316</v>
      </c>
      <c r="G8" s="13"/>
    </row>
    <row r="9" spans="1:7">
      <c r="A9" s="13" t="s">
        <v>329</v>
      </c>
      <c r="B9" s="14" t="s">
        <v>313</v>
      </c>
      <c r="C9" s="14" t="s">
        <v>330</v>
      </c>
      <c r="D9" s="14" t="s">
        <v>315</v>
      </c>
      <c r="E9" s="14" t="s">
        <v>190</v>
      </c>
      <c r="F9" s="13" t="s">
        <v>316</v>
      </c>
      <c r="G9" s="13"/>
    </row>
    <row r="10" spans="1:7">
      <c r="A10" s="13" t="s">
        <v>331</v>
      </c>
      <c r="B10" s="14" t="s">
        <v>313</v>
      </c>
      <c r="C10" s="14" t="s">
        <v>332</v>
      </c>
      <c r="D10" s="14" t="s">
        <v>333</v>
      </c>
      <c r="E10" s="14" t="s">
        <v>190</v>
      </c>
      <c r="F10" s="13" t="s">
        <v>316</v>
      </c>
      <c r="G10" s="14" t="s">
        <v>334</v>
      </c>
    </row>
    <row r="11" spans="1:7">
      <c r="A11" s="13" t="s">
        <v>335</v>
      </c>
      <c r="B11" s="14" t="s">
        <v>313</v>
      </c>
      <c r="C11" s="14" t="s">
        <v>336</v>
      </c>
      <c r="D11" s="14" t="s">
        <v>315</v>
      </c>
      <c r="E11" s="14" t="s">
        <v>190</v>
      </c>
      <c r="F11" s="13" t="s">
        <v>316</v>
      </c>
      <c r="G11" s="13"/>
    </row>
    <row r="12" spans="1:7">
      <c r="A12" s="13" t="s">
        <v>337</v>
      </c>
      <c r="B12" s="14" t="s">
        <v>338</v>
      </c>
      <c r="C12" s="14" t="s">
        <v>339</v>
      </c>
      <c r="D12" s="14" t="s">
        <v>340</v>
      </c>
      <c r="E12" s="14" t="s">
        <v>193</v>
      </c>
      <c r="F12" s="13" t="s">
        <v>341</v>
      </c>
      <c r="G12" s="13"/>
    </row>
    <row r="13" spans="1:7">
      <c r="A13" s="13" t="s">
        <v>342</v>
      </c>
      <c r="B13" s="14" t="s">
        <v>338</v>
      </c>
      <c r="C13" s="14" t="s">
        <v>343</v>
      </c>
      <c r="D13" s="14" t="s">
        <v>340</v>
      </c>
      <c r="E13" s="14" t="s">
        <v>193</v>
      </c>
      <c r="F13" s="13" t="s">
        <v>341</v>
      </c>
      <c r="G13" s="13"/>
    </row>
    <row r="14" spans="1:7">
      <c r="A14" s="13" t="s">
        <v>344</v>
      </c>
      <c r="B14" s="14" t="s">
        <v>338</v>
      </c>
      <c r="C14" s="14" t="s">
        <v>345</v>
      </c>
      <c r="D14" s="14" t="s">
        <v>340</v>
      </c>
      <c r="E14" s="14" t="s">
        <v>193</v>
      </c>
      <c r="F14" s="13" t="s">
        <v>341</v>
      </c>
      <c r="G14" s="13"/>
    </row>
    <row r="15" spans="1:7">
      <c r="A15" s="13" t="s">
        <v>346</v>
      </c>
      <c r="B15" s="14" t="s">
        <v>338</v>
      </c>
      <c r="C15" s="14" t="s">
        <v>347</v>
      </c>
      <c r="D15" s="14" t="s">
        <v>340</v>
      </c>
      <c r="E15" s="14" t="s">
        <v>193</v>
      </c>
      <c r="F15" s="13" t="s">
        <v>341</v>
      </c>
      <c r="G15" s="13"/>
    </row>
    <row r="16" spans="1:7">
      <c r="A16" s="13" t="s">
        <v>348</v>
      </c>
      <c r="B16" s="14" t="s">
        <v>338</v>
      </c>
      <c r="C16" s="14" t="s">
        <v>349</v>
      </c>
      <c r="D16" s="14" t="s">
        <v>340</v>
      </c>
      <c r="E16" s="14" t="s">
        <v>193</v>
      </c>
      <c r="F16" s="13" t="s">
        <v>341</v>
      </c>
      <c r="G16" s="13"/>
    </row>
    <row r="17" spans="1:7">
      <c r="A17" s="13" t="s">
        <v>350</v>
      </c>
      <c r="B17" s="14" t="s">
        <v>338</v>
      </c>
      <c r="C17" s="14" t="s">
        <v>351</v>
      </c>
      <c r="D17" s="14" t="s">
        <v>340</v>
      </c>
      <c r="E17" s="14" t="s">
        <v>193</v>
      </c>
      <c r="F17" s="13" t="s">
        <v>341</v>
      </c>
      <c r="G17" s="13"/>
    </row>
    <row r="18" spans="1:7">
      <c r="A18" s="13" t="s">
        <v>352</v>
      </c>
      <c r="B18" s="14" t="s">
        <v>353</v>
      </c>
      <c r="C18" s="14" t="s">
        <v>354</v>
      </c>
      <c r="D18" s="14" t="s">
        <v>340</v>
      </c>
      <c r="E18" s="14" t="s">
        <v>190</v>
      </c>
      <c r="F18" s="13" t="s">
        <v>341</v>
      </c>
      <c r="G18" s="13"/>
    </row>
    <row r="19" spans="1:7">
      <c r="A19" s="13" t="s">
        <v>355</v>
      </c>
      <c r="B19" s="14" t="s">
        <v>353</v>
      </c>
      <c r="C19" s="14" t="s">
        <v>356</v>
      </c>
      <c r="D19" s="14" t="s">
        <v>340</v>
      </c>
      <c r="E19" s="14" t="s">
        <v>190</v>
      </c>
      <c r="F19" s="13" t="s">
        <v>341</v>
      </c>
      <c r="G19" s="13"/>
    </row>
    <row r="20" spans="1:7">
      <c r="A20" s="13" t="s">
        <v>357</v>
      </c>
      <c r="B20" s="14" t="s">
        <v>353</v>
      </c>
      <c r="C20" s="14" t="s">
        <v>358</v>
      </c>
      <c r="D20" s="14" t="s">
        <v>340</v>
      </c>
      <c r="E20" s="14" t="s">
        <v>190</v>
      </c>
      <c r="F20" s="13" t="s">
        <v>341</v>
      </c>
      <c r="G20" s="13"/>
    </row>
    <row r="21" spans="1:7">
      <c r="A21" s="13" t="s">
        <v>359</v>
      </c>
      <c r="B21" s="14" t="s">
        <v>353</v>
      </c>
      <c r="C21" s="14" t="s">
        <v>360</v>
      </c>
      <c r="D21" s="14" t="s">
        <v>340</v>
      </c>
      <c r="E21" s="14" t="s">
        <v>190</v>
      </c>
      <c r="F21" s="13" t="s">
        <v>341</v>
      </c>
      <c r="G21" s="13"/>
    </row>
    <row r="22" spans="1:7">
      <c r="A22" s="13" t="s">
        <v>361</v>
      </c>
      <c r="B22" s="14" t="s">
        <v>353</v>
      </c>
      <c r="C22" s="14" t="s">
        <v>362</v>
      </c>
      <c r="D22" s="14" t="s">
        <v>340</v>
      </c>
      <c r="E22" s="14" t="s">
        <v>190</v>
      </c>
      <c r="F22" s="13" t="s">
        <v>341</v>
      </c>
      <c r="G22" s="13" t="s">
        <v>363</v>
      </c>
    </row>
    <row r="23" spans="1:7">
      <c r="A23" s="13" t="s">
        <v>364</v>
      </c>
      <c r="B23" s="14" t="s">
        <v>353</v>
      </c>
      <c r="C23" s="14" t="s">
        <v>365</v>
      </c>
      <c r="D23" s="14" t="s">
        <v>340</v>
      </c>
      <c r="E23" s="14" t="s">
        <v>190</v>
      </c>
      <c r="F23" s="13" t="s">
        <v>341</v>
      </c>
      <c r="G23" s="13"/>
    </row>
    <row r="24" spans="1:7">
      <c r="A24" s="13" t="s">
        <v>366</v>
      </c>
      <c r="B24" s="14" t="s">
        <v>353</v>
      </c>
      <c r="C24" s="14" t="s">
        <v>367</v>
      </c>
      <c r="D24" s="14" t="s">
        <v>340</v>
      </c>
      <c r="E24" s="14" t="s">
        <v>190</v>
      </c>
      <c r="F24" s="13" t="s">
        <v>341</v>
      </c>
      <c r="G24" s="13"/>
    </row>
    <row r="25" spans="1:7">
      <c r="A25" s="13" t="s">
        <v>368</v>
      </c>
      <c r="B25" s="14" t="s">
        <v>353</v>
      </c>
      <c r="C25" s="14" t="s">
        <v>369</v>
      </c>
      <c r="D25" s="14" t="s">
        <v>340</v>
      </c>
      <c r="E25" s="14" t="s">
        <v>190</v>
      </c>
      <c r="F25" s="13" t="s">
        <v>341</v>
      </c>
      <c r="G25" s="13"/>
    </row>
    <row r="26" spans="1:7">
      <c r="A26" s="13" t="s">
        <v>370</v>
      </c>
      <c r="B26" s="14" t="s">
        <v>371</v>
      </c>
      <c r="C26" s="14" t="s">
        <v>372</v>
      </c>
      <c r="D26" s="14" t="s">
        <v>373</v>
      </c>
      <c r="E26" s="14" t="s">
        <v>193</v>
      </c>
      <c r="F26" s="13" t="s">
        <v>341</v>
      </c>
      <c r="G26" s="13"/>
    </row>
    <row r="27" spans="1:7">
      <c r="A27" s="13" t="s">
        <v>374</v>
      </c>
      <c r="B27" s="14" t="s">
        <v>371</v>
      </c>
      <c r="C27" s="14" t="s">
        <v>375</v>
      </c>
      <c r="D27" s="14" t="s">
        <v>376</v>
      </c>
      <c r="E27" s="14" t="s">
        <v>193</v>
      </c>
      <c r="F27" s="13" t="s">
        <v>341</v>
      </c>
      <c r="G27" s="13"/>
    </row>
    <row r="28" spans="1:7">
      <c r="A28" s="13" t="s">
        <v>377</v>
      </c>
      <c r="B28" s="14" t="s">
        <v>371</v>
      </c>
      <c r="C28" s="14" t="s">
        <v>378</v>
      </c>
      <c r="D28" s="14" t="s">
        <v>379</v>
      </c>
      <c r="E28" s="22" t="s">
        <v>202</v>
      </c>
      <c r="F28" s="13" t="s">
        <v>341</v>
      </c>
      <c r="G28" s="13"/>
    </row>
    <row r="29" spans="1:7">
      <c r="A29" s="13" t="s">
        <v>380</v>
      </c>
      <c r="B29" s="14" t="s">
        <v>371</v>
      </c>
      <c r="C29" s="14" t="s">
        <v>381</v>
      </c>
      <c r="D29" s="14" t="s">
        <v>382</v>
      </c>
      <c r="E29" s="22" t="s">
        <v>202</v>
      </c>
      <c r="F29" s="13" t="s">
        <v>341</v>
      </c>
      <c r="G29" s="14" t="s">
        <v>383</v>
      </c>
    </row>
    <row r="30" spans="1:7">
      <c r="A30" s="13" t="s">
        <v>384</v>
      </c>
      <c r="B30" s="14" t="s">
        <v>371</v>
      </c>
      <c r="C30" s="14" t="s">
        <v>385</v>
      </c>
      <c r="D30" s="14" t="s">
        <v>386</v>
      </c>
      <c r="E30" s="14" t="s">
        <v>193</v>
      </c>
      <c r="F30" s="13" t="s">
        <v>341</v>
      </c>
      <c r="G30" s="13"/>
    </row>
    <row r="31" spans="1:7">
      <c r="A31" s="13" t="s">
        <v>387</v>
      </c>
      <c r="B31" s="14" t="s">
        <v>371</v>
      </c>
      <c r="C31" s="14" t="s">
        <v>388</v>
      </c>
      <c r="D31" s="14" t="s">
        <v>389</v>
      </c>
      <c r="E31" s="22" t="s">
        <v>202</v>
      </c>
      <c r="F31" s="13" t="s">
        <v>341</v>
      </c>
      <c r="G31" s="13"/>
    </row>
    <row r="32" spans="1:7">
      <c r="A32" s="13" t="s">
        <v>390</v>
      </c>
      <c r="B32" s="14" t="s">
        <v>391</v>
      </c>
      <c r="C32" s="14" t="s">
        <v>392</v>
      </c>
      <c r="D32" s="14" t="s">
        <v>315</v>
      </c>
      <c r="E32" s="22" t="s">
        <v>202</v>
      </c>
      <c r="F32" s="13" t="s">
        <v>393</v>
      </c>
      <c r="G32" s="14" t="s">
        <v>394</v>
      </c>
    </row>
    <row r="33" spans="1:7">
      <c r="A33" s="13" t="s">
        <v>395</v>
      </c>
      <c r="B33" s="14" t="s">
        <v>391</v>
      </c>
      <c r="C33" s="14" t="s">
        <v>396</v>
      </c>
      <c r="D33" s="14" t="s">
        <v>397</v>
      </c>
      <c r="E33" s="22" t="s">
        <v>202</v>
      </c>
      <c r="F33" s="13" t="s">
        <v>341</v>
      </c>
      <c r="G33" s="13"/>
    </row>
    <row r="34" spans="1:7">
      <c r="A34" s="13" t="s">
        <v>398</v>
      </c>
      <c r="B34" s="14" t="s">
        <v>391</v>
      </c>
      <c r="C34" s="14" t="s">
        <v>399</v>
      </c>
      <c r="D34" s="14" t="s">
        <v>400</v>
      </c>
      <c r="E34" s="14" t="s">
        <v>193</v>
      </c>
      <c r="F34" s="13" t="s">
        <v>341</v>
      </c>
      <c r="G34" s="13"/>
    </row>
    <row r="35" spans="1:7">
      <c r="A35" s="13" t="s">
        <v>401</v>
      </c>
      <c r="B35" s="14" t="s">
        <v>391</v>
      </c>
      <c r="C35" s="14" t="s">
        <v>402</v>
      </c>
      <c r="D35" s="14" t="s">
        <v>403</v>
      </c>
      <c r="E35" s="22" t="s">
        <v>202</v>
      </c>
      <c r="F35" s="13" t="s">
        <v>341</v>
      </c>
      <c r="G35" s="13"/>
    </row>
    <row r="36" spans="1:7">
      <c r="A36" s="13" t="s">
        <v>404</v>
      </c>
      <c r="B36" s="14" t="s">
        <v>391</v>
      </c>
      <c r="C36" s="14" t="s">
        <v>405</v>
      </c>
      <c r="D36" s="14" t="s">
        <v>406</v>
      </c>
      <c r="E36" s="14" t="s">
        <v>193</v>
      </c>
      <c r="F36" s="13" t="s">
        <v>341</v>
      </c>
      <c r="G36" s="13"/>
    </row>
    <row r="37" spans="1:7">
      <c r="A37" s="13" t="s">
        <v>407</v>
      </c>
      <c r="B37" s="14" t="s">
        <v>408</v>
      </c>
      <c r="C37" s="14" t="s">
        <v>409</v>
      </c>
      <c r="D37" s="14" t="s">
        <v>410</v>
      </c>
      <c r="E37" s="14" t="s">
        <v>190</v>
      </c>
      <c r="F37" s="13" t="s">
        <v>411</v>
      </c>
      <c r="G37" s="14" t="s">
        <v>412</v>
      </c>
    </row>
    <row r="38" spans="1:7">
      <c r="A38" s="13" t="s">
        <v>413</v>
      </c>
      <c r="B38" s="14" t="s">
        <v>408</v>
      </c>
      <c r="C38" s="14" t="s">
        <v>414</v>
      </c>
      <c r="D38" s="14" t="s">
        <v>410</v>
      </c>
      <c r="E38" s="14" t="s">
        <v>190</v>
      </c>
      <c r="F38" s="13" t="s">
        <v>411</v>
      </c>
      <c r="G38" s="14" t="s">
        <v>412</v>
      </c>
    </row>
    <row r="39" spans="1:7">
      <c r="A39" s="13" t="s">
        <v>415</v>
      </c>
      <c r="B39" s="14" t="s">
        <v>408</v>
      </c>
      <c r="C39" s="14" t="s">
        <v>416</v>
      </c>
      <c r="D39" s="14" t="s">
        <v>417</v>
      </c>
      <c r="E39" s="14" t="s">
        <v>190</v>
      </c>
      <c r="F39" s="13" t="s">
        <v>418</v>
      </c>
      <c r="G39" s="13"/>
    </row>
    <row r="40" spans="1:7">
      <c r="A40" s="13" t="s">
        <v>419</v>
      </c>
      <c r="B40" s="14" t="s">
        <v>408</v>
      </c>
      <c r="C40" s="13" t="s">
        <v>420</v>
      </c>
      <c r="D40" s="13" t="s">
        <v>421</v>
      </c>
      <c r="E40" s="14" t="s">
        <v>190</v>
      </c>
      <c r="F40" s="13" t="s">
        <v>411</v>
      </c>
      <c r="G40" s="14" t="s">
        <v>422</v>
      </c>
    </row>
    <row r="41" spans="1:7">
      <c r="A41" s="13" t="s">
        <v>423</v>
      </c>
      <c r="B41" s="14" t="s">
        <v>408</v>
      </c>
      <c r="C41" s="14" t="s">
        <v>424</v>
      </c>
      <c r="D41" s="14" t="s">
        <v>425</v>
      </c>
      <c r="E41" s="14" t="s">
        <v>190</v>
      </c>
      <c r="F41" s="13" t="s">
        <v>411</v>
      </c>
      <c r="G41" s="13"/>
    </row>
    <row r="42" spans="1:7">
      <c r="A42" s="13" t="s">
        <v>426</v>
      </c>
      <c r="B42" s="14" t="s">
        <v>427</v>
      </c>
      <c r="C42" s="14" t="s">
        <v>428</v>
      </c>
      <c r="D42" s="14" t="s">
        <v>429</v>
      </c>
      <c r="E42" s="14" t="s">
        <v>190</v>
      </c>
      <c r="F42" s="13" t="s">
        <v>341</v>
      </c>
      <c r="G42" s="13"/>
    </row>
    <row r="43" spans="1:7">
      <c r="A43" s="13" t="s">
        <v>430</v>
      </c>
      <c r="B43" s="14" t="s">
        <v>427</v>
      </c>
      <c r="C43" s="14" t="s">
        <v>431</v>
      </c>
      <c r="D43" s="14" t="s">
        <v>432</v>
      </c>
      <c r="E43" s="14" t="s">
        <v>190</v>
      </c>
      <c r="F43" s="13" t="s">
        <v>341</v>
      </c>
      <c r="G43" s="13"/>
    </row>
    <row r="44" spans="1:7">
      <c r="A44" s="13" t="s">
        <v>433</v>
      </c>
      <c r="B44" s="14" t="s">
        <v>427</v>
      </c>
      <c r="C44" s="14" t="s">
        <v>434</v>
      </c>
      <c r="D44" s="14" t="s">
        <v>435</v>
      </c>
      <c r="E44" s="14" t="s">
        <v>193</v>
      </c>
      <c r="F44" s="13" t="s">
        <v>341</v>
      </c>
      <c r="G44" s="13"/>
    </row>
    <row r="45" spans="1:7">
      <c r="A45" s="13" t="s">
        <v>436</v>
      </c>
      <c r="B45" s="14" t="s">
        <v>427</v>
      </c>
      <c r="C45" s="14" t="s">
        <v>437</v>
      </c>
      <c r="D45" s="14" t="s">
        <v>438</v>
      </c>
      <c r="E45" s="14" t="s">
        <v>190</v>
      </c>
      <c r="F45" s="13" t="s">
        <v>418</v>
      </c>
      <c r="G45" s="13"/>
    </row>
    <row r="46" spans="1:7">
      <c r="A46" s="13" t="s">
        <v>439</v>
      </c>
      <c r="B46" s="14" t="s">
        <v>427</v>
      </c>
      <c r="C46" s="14" t="s">
        <v>440</v>
      </c>
      <c r="D46" s="14" t="s">
        <v>441</v>
      </c>
      <c r="E46" s="14" t="s">
        <v>190</v>
      </c>
      <c r="F46" s="13" t="s">
        <v>341</v>
      </c>
      <c r="G46" s="13"/>
    </row>
    <row r="47" spans="1:7">
      <c r="A47" s="13" t="s">
        <v>442</v>
      </c>
      <c r="B47" s="14" t="s">
        <v>427</v>
      </c>
      <c r="C47" s="14" t="s">
        <v>443</v>
      </c>
      <c r="D47" s="14" t="s">
        <v>444</v>
      </c>
      <c r="E47" s="14" t="s">
        <v>193</v>
      </c>
      <c r="F47" s="13" t="s">
        <v>411</v>
      </c>
      <c r="G47" s="13"/>
    </row>
    <row r="48" spans="1:7">
      <c r="A48" s="13" t="s">
        <v>445</v>
      </c>
      <c r="B48" s="14" t="s">
        <v>446</v>
      </c>
      <c r="C48" s="14" t="s">
        <v>447</v>
      </c>
      <c r="D48" s="14" t="s">
        <v>448</v>
      </c>
      <c r="E48" s="22" t="s">
        <v>202</v>
      </c>
      <c r="F48" s="13" t="s">
        <v>449</v>
      </c>
      <c r="G48" s="14" t="s">
        <v>450</v>
      </c>
    </row>
    <row r="49" spans="1:7">
      <c r="A49" s="13" t="s">
        <v>451</v>
      </c>
      <c r="B49" s="14" t="s">
        <v>446</v>
      </c>
      <c r="C49" s="14" t="s">
        <v>452</v>
      </c>
      <c r="D49" s="14" t="s">
        <v>453</v>
      </c>
      <c r="E49" s="22" t="s">
        <v>202</v>
      </c>
      <c r="F49" s="13" t="s">
        <v>454</v>
      </c>
      <c r="G49" s="13"/>
    </row>
    <row r="50" spans="1:7">
      <c r="A50" s="13" t="s">
        <v>455</v>
      </c>
      <c r="B50" s="14" t="s">
        <v>446</v>
      </c>
      <c r="C50" s="14" t="s">
        <v>456</v>
      </c>
      <c r="D50" s="14" t="s">
        <v>340</v>
      </c>
      <c r="E50" s="22" t="s">
        <v>202</v>
      </c>
      <c r="F50" s="13" t="s">
        <v>454</v>
      </c>
      <c r="G50" s="14" t="s">
        <v>450</v>
      </c>
    </row>
    <row r="51" spans="1:7">
      <c r="A51" s="13" t="s">
        <v>457</v>
      </c>
      <c r="B51" s="14" t="s">
        <v>446</v>
      </c>
      <c r="C51" s="14" t="s">
        <v>458</v>
      </c>
      <c r="D51" s="14" t="s">
        <v>459</v>
      </c>
      <c r="E51" s="14" t="s">
        <v>193</v>
      </c>
      <c r="F51" s="13" t="s">
        <v>411</v>
      </c>
      <c r="G51" s="13"/>
    </row>
    <row r="52" spans="1:7">
      <c r="A52" s="13" t="s">
        <v>460</v>
      </c>
      <c r="B52" s="14" t="s">
        <v>461</v>
      </c>
      <c r="C52" s="14" t="s">
        <v>462</v>
      </c>
      <c r="D52" s="14" t="s">
        <v>315</v>
      </c>
      <c r="E52" s="14" t="s">
        <v>190</v>
      </c>
      <c r="F52" s="13" t="s">
        <v>454</v>
      </c>
      <c r="G52" s="13"/>
    </row>
    <row r="53" spans="1:7">
      <c r="A53" s="13" t="s">
        <v>463</v>
      </c>
      <c r="B53" s="14" t="s">
        <v>461</v>
      </c>
      <c r="C53" s="14" t="s">
        <v>464</v>
      </c>
      <c r="D53" s="14" t="s">
        <v>315</v>
      </c>
      <c r="E53" s="14" t="s">
        <v>190</v>
      </c>
      <c r="F53" s="13" t="s">
        <v>341</v>
      </c>
      <c r="G53" s="13"/>
    </row>
    <row r="54" spans="1:7">
      <c r="A54" s="13" t="s">
        <v>465</v>
      </c>
      <c r="B54" s="14" t="s">
        <v>461</v>
      </c>
      <c r="C54" s="14" t="s">
        <v>466</v>
      </c>
      <c r="D54" s="14" t="s">
        <v>315</v>
      </c>
      <c r="E54" s="14" t="s">
        <v>190</v>
      </c>
      <c r="F54" s="13" t="s">
        <v>341</v>
      </c>
      <c r="G54" s="13"/>
    </row>
    <row r="55" spans="1:7">
      <c r="A55" s="13" t="s">
        <v>467</v>
      </c>
      <c r="B55" s="14" t="s">
        <v>468</v>
      </c>
      <c r="C55" s="14" t="s">
        <v>469</v>
      </c>
      <c r="D55" s="14" t="s">
        <v>470</v>
      </c>
      <c r="E55" s="14" t="s">
        <v>190</v>
      </c>
      <c r="F55" s="13" t="s">
        <v>411</v>
      </c>
      <c r="G55" s="14" t="s">
        <v>471</v>
      </c>
    </row>
    <row r="56" spans="1:7">
      <c r="A56" s="13" t="s">
        <v>472</v>
      </c>
      <c r="B56" s="14" t="s">
        <v>468</v>
      </c>
      <c r="C56" s="14" t="s">
        <v>473</v>
      </c>
      <c r="D56" s="14" t="s">
        <v>474</v>
      </c>
      <c r="E56" s="14" t="s">
        <v>190</v>
      </c>
      <c r="F56" s="13" t="s">
        <v>411</v>
      </c>
      <c r="G56" s="14" t="s">
        <v>471</v>
      </c>
    </row>
    <row r="57" spans="1:7">
      <c r="A57" s="13" t="s">
        <v>475</v>
      </c>
      <c r="B57" s="14" t="s">
        <v>468</v>
      </c>
      <c r="C57" s="13" t="s">
        <v>476</v>
      </c>
      <c r="D57" s="14" t="s">
        <v>477</v>
      </c>
      <c r="E57" s="14" t="s">
        <v>190</v>
      </c>
      <c r="F57" s="13" t="s">
        <v>411</v>
      </c>
      <c r="G57" s="13"/>
    </row>
  </sheetData>
  <autoFilter ref="A1:G57" xr:uid="{00000000-0009-0000-0000-000003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26" customWidth="1"/>
    <col min="3" max="3" width="30" customWidth="1"/>
    <col min="4" max="4" width="8" customWidth="1"/>
    <col min="5" max="5" width="24" customWidth="1"/>
    <col min="6" max="6" width="10" customWidth="1"/>
    <col min="7" max="7" width="24" customWidth="1"/>
  </cols>
  <sheetData>
    <row r="1" spans="1:7" ht="30" customHeight="1">
      <c r="A1" s="11" t="s">
        <v>478</v>
      </c>
      <c r="B1" s="12" t="s">
        <v>479</v>
      </c>
      <c r="C1" s="12" t="s">
        <v>480</v>
      </c>
      <c r="D1" s="12" t="s">
        <v>481</v>
      </c>
      <c r="E1" s="12" t="s">
        <v>482</v>
      </c>
      <c r="F1" s="12" t="s">
        <v>483</v>
      </c>
      <c r="G1" s="12" t="s">
        <v>185</v>
      </c>
    </row>
    <row r="2" spans="1:7">
      <c r="A2" s="13" t="s">
        <v>484</v>
      </c>
      <c r="B2" s="14" t="s">
        <v>485</v>
      </c>
      <c r="C2" s="14" t="s">
        <v>486</v>
      </c>
      <c r="D2" s="13" t="s">
        <v>316</v>
      </c>
      <c r="E2" s="14" t="s">
        <v>487</v>
      </c>
      <c r="F2" s="14" t="s">
        <v>488</v>
      </c>
      <c r="G2" s="14" t="s">
        <v>489</v>
      </c>
    </row>
    <row r="3" spans="1:7">
      <c r="A3" s="13" t="s">
        <v>490</v>
      </c>
      <c r="B3" s="14" t="s">
        <v>491</v>
      </c>
      <c r="C3" s="14" t="s">
        <v>492</v>
      </c>
      <c r="D3" s="13" t="s">
        <v>341</v>
      </c>
      <c r="E3" s="14" t="s">
        <v>493</v>
      </c>
      <c r="F3" s="14" t="s">
        <v>494</v>
      </c>
      <c r="G3" s="13"/>
    </row>
    <row r="4" spans="1:7">
      <c r="A4" s="13" t="s">
        <v>495</v>
      </c>
      <c r="B4" s="14" t="s">
        <v>496</v>
      </c>
      <c r="C4" s="14" t="s">
        <v>497</v>
      </c>
      <c r="D4" s="13" t="s">
        <v>341</v>
      </c>
      <c r="E4" s="14" t="s">
        <v>498</v>
      </c>
      <c r="F4" s="14" t="s">
        <v>494</v>
      </c>
      <c r="G4" s="13"/>
    </row>
    <row r="5" spans="1:7">
      <c r="A5" s="13" t="s">
        <v>499</v>
      </c>
      <c r="B5" s="14" t="s">
        <v>500</v>
      </c>
      <c r="C5" s="14" t="s">
        <v>501</v>
      </c>
      <c r="D5" s="13" t="s">
        <v>341</v>
      </c>
      <c r="E5" s="14" t="s">
        <v>502</v>
      </c>
      <c r="F5" s="14" t="s">
        <v>503</v>
      </c>
      <c r="G5" s="13"/>
    </row>
    <row r="6" spans="1:7">
      <c r="A6" s="13" t="s">
        <v>504</v>
      </c>
      <c r="B6" s="14" t="s">
        <v>505</v>
      </c>
      <c r="C6" s="14" t="s">
        <v>492</v>
      </c>
      <c r="D6" s="13" t="s">
        <v>341</v>
      </c>
      <c r="E6" s="14" t="s">
        <v>506</v>
      </c>
      <c r="F6" s="14" t="s">
        <v>494</v>
      </c>
      <c r="G6" s="13"/>
    </row>
    <row r="7" spans="1:7">
      <c r="A7" s="13" t="s">
        <v>507</v>
      </c>
      <c r="B7" s="14" t="s">
        <v>508</v>
      </c>
      <c r="C7" s="14" t="s">
        <v>509</v>
      </c>
      <c r="D7" s="13" t="s">
        <v>341</v>
      </c>
      <c r="E7" s="14" t="s">
        <v>510</v>
      </c>
      <c r="F7" s="14" t="s">
        <v>494</v>
      </c>
      <c r="G7" s="13"/>
    </row>
    <row r="8" spans="1:7">
      <c r="A8" s="13" t="s">
        <v>511</v>
      </c>
      <c r="B8" s="14" t="s">
        <v>512</v>
      </c>
      <c r="C8" s="13" t="s">
        <v>513</v>
      </c>
      <c r="D8" s="21" t="s">
        <v>411</v>
      </c>
      <c r="E8" s="14" t="s">
        <v>514</v>
      </c>
      <c r="F8" s="14" t="s">
        <v>515</v>
      </c>
      <c r="G8" s="13" t="s">
        <v>516</v>
      </c>
    </row>
    <row r="9" spans="1:7">
      <c r="A9" s="13" t="s">
        <v>517</v>
      </c>
      <c r="B9" s="14" t="s">
        <v>518</v>
      </c>
      <c r="C9" s="13" t="s">
        <v>519</v>
      </c>
      <c r="D9" s="21" t="s">
        <v>411</v>
      </c>
      <c r="E9" s="14" t="s">
        <v>520</v>
      </c>
      <c r="F9" s="14" t="s">
        <v>515</v>
      </c>
      <c r="G9" s="13" t="s">
        <v>516</v>
      </c>
    </row>
    <row r="10" spans="1:7">
      <c r="A10" s="13" t="s">
        <v>521</v>
      </c>
      <c r="B10" s="14" t="s">
        <v>522</v>
      </c>
      <c r="C10" s="14" t="s">
        <v>523</v>
      </c>
      <c r="D10" s="21" t="s">
        <v>411</v>
      </c>
      <c r="E10" s="14" t="s">
        <v>414</v>
      </c>
      <c r="F10" s="14" t="s">
        <v>503</v>
      </c>
      <c r="G10" s="13"/>
    </row>
    <row r="11" spans="1:7">
      <c r="A11" s="13" t="s">
        <v>524</v>
      </c>
      <c r="B11" s="14" t="s">
        <v>525</v>
      </c>
      <c r="C11" s="14" t="s">
        <v>526</v>
      </c>
      <c r="D11" s="21" t="s">
        <v>411</v>
      </c>
      <c r="E11" s="14" t="s">
        <v>527</v>
      </c>
      <c r="F11" s="14" t="s">
        <v>503</v>
      </c>
      <c r="G11" s="13"/>
    </row>
    <row r="12" spans="1:7">
      <c r="A12" s="13" t="s">
        <v>528</v>
      </c>
      <c r="B12" s="14" t="s">
        <v>529</v>
      </c>
      <c r="C12" s="14" t="s">
        <v>530</v>
      </c>
      <c r="D12" s="13" t="s">
        <v>341</v>
      </c>
      <c r="E12" s="14" t="s">
        <v>531</v>
      </c>
      <c r="F12" s="14" t="s">
        <v>488</v>
      </c>
      <c r="G12" s="13"/>
    </row>
    <row r="13" spans="1:7">
      <c r="A13" s="13" t="s">
        <v>532</v>
      </c>
      <c r="B13" s="14" t="s">
        <v>533</v>
      </c>
      <c r="C13" s="14" t="s">
        <v>534</v>
      </c>
      <c r="D13" s="21" t="s">
        <v>454</v>
      </c>
      <c r="E13" s="14" t="s">
        <v>535</v>
      </c>
      <c r="F13" s="14" t="s">
        <v>503</v>
      </c>
      <c r="G13" s="14" t="s">
        <v>536</v>
      </c>
    </row>
    <row r="14" spans="1:7">
      <c r="A14" s="13" t="s">
        <v>537</v>
      </c>
      <c r="B14" s="14" t="s">
        <v>538</v>
      </c>
      <c r="C14" s="14" t="s">
        <v>534</v>
      </c>
      <c r="D14" s="21" t="s">
        <v>454</v>
      </c>
      <c r="E14" s="14" t="s">
        <v>539</v>
      </c>
      <c r="F14" s="14" t="s">
        <v>503</v>
      </c>
      <c r="G14" s="14" t="s">
        <v>540</v>
      </c>
    </row>
    <row r="15" spans="1:7">
      <c r="A15" s="13" t="s">
        <v>541</v>
      </c>
      <c r="B15" s="14" t="s">
        <v>542</v>
      </c>
      <c r="C15" s="14" t="s">
        <v>543</v>
      </c>
      <c r="D15" s="21" t="s">
        <v>454</v>
      </c>
      <c r="E15" s="14" t="s">
        <v>462</v>
      </c>
      <c r="F15" s="14" t="s">
        <v>494</v>
      </c>
      <c r="G15" s="14" t="s">
        <v>544</v>
      </c>
    </row>
    <row r="16" spans="1:7">
      <c r="A16" s="13" t="s">
        <v>545</v>
      </c>
      <c r="B16" s="14" t="s">
        <v>546</v>
      </c>
      <c r="C16" s="14" t="s">
        <v>547</v>
      </c>
      <c r="D16" s="13" t="s">
        <v>341</v>
      </c>
      <c r="E16" s="14" t="s">
        <v>548</v>
      </c>
      <c r="F16" s="14" t="s">
        <v>488</v>
      </c>
      <c r="G16" s="14" t="s">
        <v>549</v>
      </c>
    </row>
    <row r="17" spans="1:7">
      <c r="A17" s="13" t="s">
        <v>550</v>
      </c>
      <c r="B17" s="13" t="s">
        <v>551</v>
      </c>
      <c r="C17" s="14" t="s">
        <v>552</v>
      </c>
      <c r="D17" s="21" t="s">
        <v>411</v>
      </c>
      <c r="E17" s="14" t="s">
        <v>553</v>
      </c>
      <c r="F17" s="14" t="s">
        <v>503</v>
      </c>
      <c r="G17" s="14" t="s">
        <v>554</v>
      </c>
    </row>
  </sheetData>
  <autoFilter ref="A1:G17" xr:uid="{00000000-0009-0000-0000-000004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9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customWidth="1"/>
    <col min="2" max="2" width="12" customWidth="1"/>
    <col min="3" max="3" width="10" customWidth="1"/>
    <col min="4" max="6" width="9" customWidth="1"/>
    <col min="7" max="7" width="22" customWidth="1"/>
    <col min="8" max="8" width="32" customWidth="1"/>
    <col min="9" max="9" width="8" customWidth="1"/>
  </cols>
  <sheetData>
    <row r="1" spans="1:9" ht="30" customHeight="1">
      <c r="A1" s="12" t="s">
        <v>555</v>
      </c>
      <c r="B1" s="11" t="s">
        <v>181</v>
      </c>
      <c r="C1" s="11" t="s">
        <v>306</v>
      </c>
      <c r="D1" s="12" t="s">
        <v>556</v>
      </c>
      <c r="E1" s="11" t="s">
        <v>478</v>
      </c>
      <c r="F1" s="12" t="s">
        <v>481</v>
      </c>
      <c r="G1" s="12" t="s">
        <v>185</v>
      </c>
      <c r="H1" s="12" t="s">
        <v>557</v>
      </c>
      <c r="I1" s="12" t="s">
        <v>310</v>
      </c>
    </row>
    <row r="2" spans="1:9">
      <c r="A2" s="13" t="s">
        <v>558</v>
      </c>
      <c r="B2" s="13" t="s">
        <v>187</v>
      </c>
      <c r="C2" s="13" t="s">
        <v>312</v>
      </c>
      <c r="D2" s="23" t="s">
        <v>559</v>
      </c>
      <c r="E2" s="13" t="s">
        <v>484</v>
      </c>
      <c r="F2" s="13" t="s">
        <v>316</v>
      </c>
      <c r="G2" s="13"/>
      <c r="H2" s="14" t="s">
        <v>314</v>
      </c>
      <c r="I2" s="14" t="s">
        <v>190</v>
      </c>
    </row>
    <row r="3" spans="1:9">
      <c r="A3" s="13" t="s">
        <v>560</v>
      </c>
      <c r="B3" s="13" t="s">
        <v>187</v>
      </c>
      <c r="C3" s="13" t="s">
        <v>319</v>
      </c>
      <c r="D3" s="13" t="s">
        <v>561</v>
      </c>
      <c r="E3" s="13" t="s">
        <v>484</v>
      </c>
      <c r="F3" s="13" t="s">
        <v>316</v>
      </c>
      <c r="G3" s="13"/>
      <c r="H3" s="14" t="s">
        <v>320</v>
      </c>
      <c r="I3" s="14" t="s">
        <v>190</v>
      </c>
    </row>
    <row r="4" spans="1:9">
      <c r="A4" s="13" t="s">
        <v>562</v>
      </c>
      <c r="B4" s="13" t="s">
        <v>191</v>
      </c>
      <c r="C4" s="13" t="s">
        <v>467</v>
      </c>
      <c r="D4" s="23" t="s">
        <v>559</v>
      </c>
      <c r="E4" s="13" t="s">
        <v>511</v>
      </c>
      <c r="F4" s="17" t="s">
        <v>411</v>
      </c>
      <c r="G4" s="14" t="s">
        <v>563</v>
      </c>
      <c r="H4" s="14" t="s">
        <v>469</v>
      </c>
      <c r="I4" s="14" t="s">
        <v>190</v>
      </c>
    </row>
    <row r="5" spans="1:9">
      <c r="A5" s="13" t="s">
        <v>564</v>
      </c>
      <c r="B5" s="13" t="s">
        <v>191</v>
      </c>
      <c r="C5" s="13" t="s">
        <v>342</v>
      </c>
      <c r="D5" s="23" t="s">
        <v>559</v>
      </c>
      <c r="E5" s="13" t="s">
        <v>490</v>
      </c>
      <c r="F5" s="13" t="s">
        <v>341</v>
      </c>
      <c r="G5" s="13"/>
      <c r="H5" s="14" t="s">
        <v>343</v>
      </c>
      <c r="I5" s="14" t="s">
        <v>193</v>
      </c>
    </row>
    <row r="6" spans="1:9">
      <c r="A6" s="13" t="s">
        <v>565</v>
      </c>
      <c r="B6" s="13" t="s">
        <v>191</v>
      </c>
      <c r="C6" s="13" t="s">
        <v>407</v>
      </c>
      <c r="D6" s="23" t="s">
        <v>559</v>
      </c>
      <c r="E6" s="13" t="s">
        <v>521</v>
      </c>
      <c r="F6" s="17" t="s">
        <v>411</v>
      </c>
      <c r="G6" s="14" t="s">
        <v>412</v>
      </c>
      <c r="H6" s="14" t="s">
        <v>409</v>
      </c>
      <c r="I6" s="14" t="s">
        <v>190</v>
      </c>
    </row>
    <row r="7" spans="1:9">
      <c r="A7" s="13" t="s">
        <v>566</v>
      </c>
      <c r="B7" s="13" t="s">
        <v>191</v>
      </c>
      <c r="C7" s="13" t="s">
        <v>346</v>
      </c>
      <c r="D7" s="13" t="s">
        <v>561</v>
      </c>
      <c r="E7" s="13" t="s">
        <v>490</v>
      </c>
      <c r="F7" s="13" t="s">
        <v>341</v>
      </c>
      <c r="G7" s="13"/>
      <c r="H7" s="14" t="s">
        <v>347</v>
      </c>
      <c r="I7" s="14" t="s">
        <v>193</v>
      </c>
    </row>
    <row r="8" spans="1:9">
      <c r="A8" s="13" t="s">
        <v>567</v>
      </c>
      <c r="B8" s="13" t="s">
        <v>191</v>
      </c>
      <c r="C8" s="13" t="s">
        <v>415</v>
      </c>
      <c r="D8" s="13" t="s">
        <v>561</v>
      </c>
      <c r="E8" s="13" t="s">
        <v>521</v>
      </c>
      <c r="F8" s="17" t="s">
        <v>411</v>
      </c>
      <c r="G8" s="13"/>
      <c r="H8" s="14" t="s">
        <v>416</v>
      </c>
      <c r="I8" s="14" t="s">
        <v>190</v>
      </c>
    </row>
    <row r="9" spans="1:9">
      <c r="A9" s="13" t="s">
        <v>568</v>
      </c>
      <c r="B9" s="13" t="s">
        <v>194</v>
      </c>
      <c r="C9" s="13" t="s">
        <v>398</v>
      </c>
      <c r="D9" s="23" t="s">
        <v>559</v>
      </c>
      <c r="E9" s="13" t="s">
        <v>490</v>
      </c>
      <c r="F9" s="13" t="s">
        <v>341</v>
      </c>
      <c r="G9" s="13"/>
      <c r="H9" s="14" t="s">
        <v>399</v>
      </c>
      <c r="I9" s="14" t="s">
        <v>193</v>
      </c>
    </row>
    <row r="10" spans="1:9">
      <c r="A10" s="13" t="s">
        <v>569</v>
      </c>
      <c r="B10" s="13" t="s">
        <v>194</v>
      </c>
      <c r="C10" s="13" t="s">
        <v>390</v>
      </c>
      <c r="D10" s="13" t="s">
        <v>561</v>
      </c>
      <c r="E10" s="13" t="s">
        <v>499</v>
      </c>
      <c r="F10" s="13" t="s">
        <v>341</v>
      </c>
      <c r="G10" s="13"/>
      <c r="H10" s="14" t="s">
        <v>392</v>
      </c>
      <c r="I10" s="18" t="s">
        <v>202</v>
      </c>
    </row>
    <row r="11" spans="1:9">
      <c r="A11" s="13" t="s">
        <v>570</v>
      </c>
      <c r="B11" s="13" t="s">
        <v>194</v>
      </c>
      <c r="C11" s="13" t="s">
        <v>395</v>
      </c>
      <c r="D11" s="13" t="s">
        <v>561</v>
      </c>
      <c r="E11" s="13" t="s">
        <v>499</v>
      </c>
      <c r="F11" s="13" t="s">
        <v>341</v>
      </c>
      <c r="G11" s="13"/>
      <c r="H11" s="14" t="s">
        <v>396</v>
      </c>
      <c r="I11" s="18" t="s">
        <v>202</v>
      </c>
    </row>
    <row r="12" spans="1:9">
      <c r="A12" s="13" t="s">
        <v>571</v>
      </c>
      <c r="B12" s="13" t="s">
        <v>197</v>
      </c>
      <c r="C12" s="13" t="s">
        <v>312</v>
      </c>
      <c r="D12" s="23" t="s">
        <v>559</v>
      </c>
      <c r="E12" s="13" t="s">
        <v>484</v>
      </c>
      <c r="F12" s="13" t="s">
        <v>316</v>
      </c>
      <c r="G12" s="13"/>
      <c r="H12" s="14" t="s">
        <v>314</v>
      </c>
      <c r="I12" s="14" t="s">
        <v>190</v>
      </c>
    </row>
    <row r="13" spans="1:9">
      <c r="A13" s="13" t="s">
        <v>572</v>
      </c>
      <c r="B13" s="13" t="s">
        <v>197</v>
      </c>
      <c r="C13" s="13" t="s">
        <v>352</v>
      </c>
      <c r="D13" s="23" t="s">
        <v>559</v>
      </c>
      <c r="E13" s="13" t="s">
        <v>490</v>
      </c>
      <c r="F13" s="13" t="s">
        <v>341</v>
      </c>
      <c r="G13" s="13"/>
      <c r="H13" s="14" t="s">
        <v>354</v>
      </c>
      <c r="I13" s="14" t="s">
        <v>190</v>
      </c>
    </row>
    <row r="14" spans="1:9">
      <c r="A14" s="13" t="s">
        <v>573</v>
      </c>
      <c r="B14" s="13" t="s">
        <v>197</v>
      </c>
      <c r="C14" s="13" t="s">
        <v>350</v>
      </c>
      <c r="D14" s="13" t="s">
        <v>561</v>
      </c>
      <c r="E14" s="13" t="s">
        <v>490</v>
      </c>
      <c r="F14" s="13" t="s">
        <v>341</v>
      </c>
      <c r="G14" s="13"/>
      <c r="H14" s="14" t="s">
        <v>351</v>
      </c>
      <c r="I14" s="14" t="s">
        <v>193</v>
      </c>
    </row>
    <row r="15" spans="1:9">
      <c r="A15" s="13" t="s">
        <v>574</v>
      </c>
      <c r="B15" s="13" t="s">
        <v>199</v>
      </c>
      <c r="C15" s="13" t="s">
        <v>445</v>
      </c>
      <c r="D15" s="23" t="s">
        <v>559</v>
      </c>
      <c r="E15" s="13" t="s">
        <v>532</v>
      </c>
      <c r="F15" s="17" t="s">
        <v>454</v>
      </c>
      <c r="G15" s="14" t="s">
        <v>575</v>
      </c>
      <c r="H15" s="14" t="s">
        <v>447</v>
      </c>
      <c r="I15" s="18" t="s">
        <v>202</v>
      </c>
    </row>
    <row r="16" spans="1:9">
      <c r="A16" s="13" t="s">
        <v>576</v>
      </c>
      <c r="B16" s="13" t="s">
        <v>199</v>
      </c>
      <c r="C16" s="13" t="s">
        <v>455</v>
      </c>
      <c r="D16" s="23" t="s">
        <v>559</v>
      </c>
      <c r="E16" s="13" t="s">
        <v>537</v>
      </c>
      <c r="F16" s="17" t="s">
        <v>454</v>
      </c>
      <c r="G16" s="14" t="s">
        <v>575</v>
      </c>
      <c r="H16" s="14" t="s">
        <v>456</v>
      </c>
      <c r="I16" s="18" t="s">
        <v>202</v>
      </c>
    </row>
    <row r="17" spans="1:9">
      <c r="A17" s="13" t="s">
        <v>577</v>
      </c>
      <c r="B17" s="13" t="s">
        <v>199</v>
      </c>
      <c r="C17" s="13" t="s">
        <v>348</v>
      </c>
      <c r="D17" s="13" t="s">
        <v>561</v>
      </c>
      <c r="E17" s="13" t="s">
        <v>490</v>
      </c>
      <c r="F17" s="13" t="s">
        <v>341</v>
      </c>
      <c r="G17" s="13"/>
      <c r="H17" s="14" t="s">
        <v>349</v>
      </c>
      <c r="I17" s="14" t="s">
        <v>193</v>
      </c>
    </row>
    <row r="18" spans="1:9">
      <c r="A18" s="13" t="s">
        <v>578</v>
      </c>
      <c r="B18" s="13" t="s">
        <v>199</v>
      </c>
      <c r="C18" s="13" t="s">
        <v>460</v>
      </c>
      <c r="D18" s="13" t="s">
        <v>561</v>
      </c>
      <c r="E18" s="13" t="s">
        <v>541</v>
      </c>
      <c r="F18" s="17" t="s">
        <v>454</v>
      </c>
      <c r="G18" s="13"/>
      <c r="H18" s="14" t="s">
        <v>462</v>
      </c>
      <c r="I18" s="14" t="s">
        <v>190</v>
      </c>
    </row>
    <row r="19" spans="1:9">
      <c r="A19" s="13" t="s">
        <v>579</v>
      </c>
      <c r="B19" s="13" t="s">
        <v>204</v>
      </c>
      <c r="C19" s="13" t="s">
        <v>312</v>
      </c>
      <c r="D19" s="23" t="s">
        <v>559</v>
      </c>
      <c r="E19" s="13" t="s">
        <v>484</v>
      </c>
      <c r="F19" s="13" t="s">
        <v>316</v>
      </c>
      <c r="G19" s="13"/>
      <c r="H19" s="14" t="s">
        <v>314</v>
      </c>
      <c r="I19" s="14" t="s">
        <v>190</v>
      </c>
    </row>
    <row r="20" spans="1:9">
      <c r="A20" s="13" t="s">
        <v>580</v>
      </c>
      <c r="B20" s="13" t="s">
        <v>209</v>
      </c>
      <c r="C20" s="13" t="s">
        <v>327</v>
      </c>
      <c r="D20" s="23" t="s">
        <v>559</v>
      </c>
      <c r="E20" s="13" t="s">
        <v>484</v>
      </c>
      <c r="F20" s="13" t="s">
        <v>316</v>
      </c>
      <c r="G20" s="13"/>
      <c r="H20" s="14" t="s">
        <v>328</v>
      </c>
      <c r="I20" s="14" t="s">
        <v>190</v>
      </c>
    </row>
    <row r="21" spans="1:9">
      <c r="A21" s="13" t="s">
        <v>581</v>
      </c>
      <c r="B21" s="13" t="s">
        <v>211</v>
      </c>
      <c r="C21" s="13" t="s">
        <v>327</v>
      </c>
      <c r="D21" s="23" t="s">
        <v>559</v>
      </c>
      <c r="E21" s="13" t="s">
        <v>484</v>
      </c>
      <c r="F21" s="13" t="s">
        <v>316</v>
      </c>
      <c r="G21" s="13"/>
      <c r="H21" s="14" t="s">
        <v>328</v>
      </c>
      <c r="I21" s="14" t="s">
        <v>190</v>
      </c>
    </row>
    <row r="22" spans="1:9">
      <c r="A22" s="13" t="s">
        <v>582</v>
      </c>
      <c r="B22" s="13" t="s">
        <v>211</v>
      </c>
      <c r="C22" s="13" t="s">
        <v>463</v>
      </c>
      <c r="D22" s="23" t="s">
        <v>559</v>
      </c>
      <c r="E22" s="13" t="s">
        <v>507</v>
      </c>
      <c r="F22" s="13" t="s">
        <v>341</v>
      </c>
      <c r="G22" s="13"/>
      <c r="H22" s="14" t="s">
        <v>464</v>
      </c>
      <c r="I22" s="14" t="s">
        <v>190</v>
      </c>
    </row>
    <row r="23" spans="1:9">
      <c r="A23" s="13" t="s">
        <v>583</v>
      </c>
      <c r="B23" s="13" t="s">
        <v>211</v>
      </c>
      <c r="C23" s="13" t="s">
        <v>445</v>
      </c>
      <c r="D23" s="13" t="s">
        <v>561</v>
      </c>
      <c r="E23" s="13" t="s">
        <v>537</v>
      </c>
      <c r="F23" s="17" t="s">
        <v>454</v>
      </c>
      <c r="G23" s="13"/>
      <c r="H23" s="14" t="s">
        <v>447</v>
      </c>
      <c r="I23" s="18" t="s">
        <v>202</v>
      </c>
    </row>
    <row r="24" spans="1:9">
      <c r="A24" s="13" t="s">
        <v>584</v>
      </c>
      <c r="B24" s="13" t="s">
        <v>213</v>
      </c>
      <c r="C24" s="13" t="s">
        <v>327</v>
      </c>
      <c r="D24" s="23" t="s">
        <v>559</v>
      </c>
      <c r="E24" s="13" t="s">
        <v>484</v>
      </c>
      <c r="F24" s="13" t="s">
        <v>316</v>
      </c>
      <c r="G24" s="13"/>
      <c r="H24" s="14" t="s">
        <v>328</v>
      </c>
      <c r="I24" s="14" t="s">
        <v>190</v>
      </c>
    </row>
    <row r="25" spans="1:9">
      <c r="A25" s="13" t="s">
        <v>585</v>
      </c>
      <c r="B25" s="13" t="s">
        <v>213</v>
      </c>
      <c r="C25" s="13" t="s">
        <v>312</v>
      </c>
      <c r="D25" s="23" t="s">
        <v>559</v>
      </c>
      <c r="E25" s="13" t="s">
        <v>484</v>
      </c>
      <c r="F25" s="13" t="s">
        <v>316</v>
      </c>
      <c r="G25" s="13"/>
      <c r="H25" s="14" t="s">
        <v>314</v>
      </c>
      <c r="I25" s="14" t="s">
        <v>190</v>
      </c>
    </row>
    <row r="26" spans="1:9">
      <c r="A26" s="13" t="s">
        <v>586</v>
      </c>
      <c r="B26" s="13" t="s">
        <v>215</v>
      </c>
      <c r="C26" s="13" t="s">
        <v>455</v>
      </c>
      <c r="D26" s="23" t="s">
        <v>559</v>
      </c>
      <c r="E26" s="13" t="s">
        <v>537</v>
      </c>
      <c r="F26" s="17" t="s">
        <v>454</v>
      </c>
      <c r="G26" s="14" t="s">
        <v>575</v>
      </c>
      <c r="H26" s="14" t="s">
        <v>456</v>
      </c>
      <c r="I26" s="18" t="s">
        <v>202</v>
      </c>
    </row>
    <row r="27" spans="1:9">
      <c r="A27" s="13" t="s">
        <v>587</v>
      </c>
      <c r="B27" s="13" t="s">
        <v>215</v>
      </c>
      <c r="C27" s="13" t="s">
        <v>460</v>
      </c>
      <c r="D27" s="13" t="s">
        <v>561</v>
      </c>
      <c r="E27" s="13" t="s">
        <v>541</v>
      </c>
      <c r="F27" s="17" t="s">
        <v>454</v>
      </c>
      <c r="G27" s="13"/>
      <c r="H27" s="14" t="s">
        <v>462</v>
      </c>
      <c r="I27" s="14" t="s">
        <v>190</v>
      </c>
    </row>
    <row r="28" spans="1:9">
      <c r="A28" s="13" t="s">
        <v>588</v>
      </c>
      <c r="B28" s="13" t="s">
        <v>217</v>
      </c>
      <c r="C28" s="13" t="s">
        <v>359</v>
      </c>
      <c r="D28" s="23" t="s">
        <v>559</v>
      </c>
      <c r="E28" s="13" t="s">
        <v>490</v>
      </c>
      <c r="F28" s="13" t="s">
        <v>341</v>
      </c>
      <c r="G28" s="13"/>
      <c r="H28" s="14" t="s">
        <v>360</v>
      </c>
      <c r="I28" s="14" t="s">
        <v>190</v>
      </c>
    </row>
    <row r="29" spans="1:9">
      <c r="A29" s="13" t="s">
        <v>589</v>
      </c>
      <c r="B29" s="13" t="s">
        <v>217</v>
      </c>
      <c r="C29" s="13" t="s">
        <v>364</v>
      </c>
      <c r="D29" s="23" t="s">
        <v>559</v>
      </c>
      <c r="E29" s="13" t="s">
        <v>490</v>
      </c>
      <c r="F29" s="13" t="s">
        <v>341</v>
      </c>
      <c r="G29" s="13"/>
      <c r="H29" s="14" t="s">
        <v>365</v>
      </c>
      <c r="I29" s="14" t="s">
        <v>190</v>
      </c>
    </row>
    <row r="30" spans="1:9">
      <c r="A30" s="13" t="s">
        <v>590</v>
      </c>
      <c r="B30" s="13" t="s">
        <v>217</v>
      </c>
      <c r="C30" s="13" t="s">
        <v>337</v>
      </c>
      <c r="D30" s="13" t="s">
        <v>561</v>
      </c>
      <c r="E30" s="13" t="s">
        <v>490</v>
      </c>
      <c r="F30" s="13" t="s">
        <v>341</v>
      </c>
      <c r="G30" s="13"/>
      <c r="H30" s="14" t="s">
        <v>339</v>
      </c>
      <c r="I30" s="14" t="s">
        <v>193</v>
      </c>
    </row>
    <row r="31" spans="1:9">
      <c r="A31" s="13" t="s">
        <v>591</v>
      </c>
      <c r="B31" s="13" t="s">
        <v>219</v>
      </c>
      <c r="C31" s="13" t="s">
        <v>325</v>
      </c>
      <c r="D31" s="23" t="s">
        <v>559</v>
      </c>
      <c r="E31" s="13" t="s">
        <v>484</v>
      </c>
      <c r="F31" s="13" t="s">
        <v>316</v>
      </c>
      <c r="G31" s="13"/>
      <c r="H31" s="14" t="s">
        <v>326</v>
      </c>
      <c r="I31" s="14" t="s">
        <v>190</v>
      </c>
    </row>
    <row r="32" spans="1:9">
      <c r="A32" s="13" t="s">
        <v>592</v>
      </c>
      <c r="B32" s="13" t="s">
        <v>219</v>
      </c>
      <c r="C32" s="13" t="s">
        <v>317</v>
      </c>
      <c r="D32" s="13" t="s">
        <v>561</v>
      </c>
      <c r="E32" s="13" t="s">
        <v>484</v>
      </c>
      <c r="F32" s="13" t="s">
        <v>316</v>
      </c>
      <c r="G32" s="13"/>
      <c r="H32" s="14" t="s">
        <v>318</v>
      </c>
      <c r="I32" s="14" t="s">
        <v>190</v>
      </c>
    </row>
    <row r="33" spans="1:9">
      <c r="A33" s="13" t="s">
        <v>593</v>
      </c>
      <c r="B33" s="13" t="s">
        <v>221</v>
      </c>
      <c r="C33" s="13" t="s">
        <v>366</v>
      </c>
      <c r="D33" s="23" t="s">
        <v>559</v>
      </c>
      <c r="E33" s="13" t="s">
        <v>490</v>
      </c>
      <c r="F33" s="13" t="s">
        <v>341</v>
      </c>
      <c r="G33" s="13"/>
      <c r="H33" s="14" t="s">
        <v>367</v>
      </c>
      <c r="I33" s="14" t="s">
        <v>190</v>
      </c>
    </row>
    <row r="34" spans="1:9">
      <c r="A34" s="13" t="s">
        <v>594</v>
      </c>
      <c r="B34" s="13" t="s">
        <v>221</v>
      </c>
      <c r="C34" s="13" t="s">
        <v>355</v>
      </c>
      <c r="D34" s="23" t="s">
        <v>559</v>
      </c>
      <c r="E34" s="13" t="s">
        <v>490</v>
      </c>
      <c r="F34" s="13" t="s">
        <v>341</v>
      </c>
      <c r="G34" s="13"/>
      <c r="H34" s="14" t="s">
        <v>356</v>
      </c>
      <c r="I34" s="14" t="s">
        <v>190</v>
      </c>
    </row>
    <row r="35" spans="1:9">
      <c r="A35" s="13" t="s">
        <v>595</v>
      </c>
      <c r="B35" s="13" t="s">
        <v>221</v>
      </c>
      <c r="C35" s="13" t="s">
        <v>384</v>
      </c>
      <c r="D35" s="13" t="s">
        <v>561</v>
      </c>
      <c r="E35" s="13" t="s">
        <v>490</v>
      </c>
      <c r="F35" s="13" t="s">
        <v>341</v>
      </c>
      <c r="G35" s="13"/>
      <c r="H35" s="14" t="s">
        <v>385</v>
      </c>
      <c r="I35" s="14" t="s">
        <v>193</v>
      </c>
    </row>
    <row r="36" spans="1:9">
      <c r="A36" s="13" t="s">
        <v>596</v>
      </c>
      <c r="B36" s="13" t="s">
        <v>221</v>
      </c>
      <c r="C36" s="13" t="s">
        <v>463</v>
      </c>
      <c r="D36" s="13" t="s">
        <v>561</v>
      </c>
      <c r="E36" s="13" t="s">
        <v>507</v>
      </c>
      <c r="F36" s="13" t="s">
        <v>341</v>
      </c>
      <c r="G36" s="13"/>
      <c r="H36" s="14" t="s">
        <v>464</v>
      </c>
      <c r="I36" s="14" t="s">
        <v>190</v>
      </c>
    </row>
    <row r="37" spans="1:9">
      <c r="A37" s="13" t="s">
        <v>597</v>
      </c>
      <c r="B37" s="13" t="s">
        <v>223</v>
      </c>
      <c r="C37" s="13" t="s">
        <v>368</v>
      </c>
      <c r="D37" s="23" t="s">
        <v>559</v>
      </c>
      <c r="E37" s="13" t="s">
        <v>504</v>
      </c>
      <c r="F37" s="13" t="s">
        <v>341</v>
      </c>
      <c r="G37" s="13"/>
      <c r="H37" s="14" t="s">
        <v>369</v>
      </c>
      <c r="I37" s="14" t="s">
        <v>190</v>
      </c>
    </row>
    <row r="38" spans="1:9">
      <c r="A38" s="13" t="s">
        <v>598</v>
      </c>
      <c r="B38" s="13" t="s">
        <v>223</v>
      </c>
      <c r="C38" s="13" t="s">
        <v>366</v>
      </c>
      <c r="D38" s="13" t="s">
        <v>561</v>
      </c>
      <c r="E38" s="13" t="s">
        <v>490</v>
      </c>
      <c r="F38" s="13" t="s">
        <v>341</v>
      </c>
      <c r="G38" s="13"/>
      <c r="H38" s="14" t="s">
        <v>367</v>
      </c>
      <c r="I38" s="14" t="s">
        <v>190</v>
      </c>
    </row>
    <row r="39" spans="1:9">
      <c r="A39" s="13" t="s">
        <v>599</v>
      </c>
      <c r="B39" s="13" t="s">
        <v>225</v>
      </c>
      <c r="C39" s="13" t="s">
        <v>455</v>
      </c>
      <c r="D39" s="23" t="s">
        <v>559</v>
      </c>
      <c r="E39" s="13" t="s">
        <v>537</v>
      </c>
      <c r="F39" s="17" t="s">
        <v>454</v>
      </c>
      <c r="G39" s="14" t="s">
        <v>575</v>
      </c>
      <c r="H39" s="14" t="s">
        <v>456</v>
      </c>
      <c r="I39" s="18" t="s">
        <v>202</v>
      </c>
    </row>
    <row r="40" spans="1:9">
      <c r="A40" s="13" t="s">
        <v>600</v>
      </c>
      <c r="B40" s="13" t="s">
        <v>225</v>
      </c>
      <c r="C40" s="13" t="s">
        <v>445</v>
      </c>
      <c r="D40" s="23" t="s">
        <v>559</v>
      </c>
      <c r="E40" s="13" t="s">
        <v>537</v>
      </c>
      <c r="F40" s="17" t="s">
        <v>454</v>
      </c>
      <c r="G40" s="14" t="s">
        <v>575</v>
      </c>
      <c r="H40" s="14" t="s">
        <v>447</v>
      </c>
      <c r="I40" s="18" t="s">
        <v>202</v>
      </c>
    </row>
    <row r="41" spans="1:9">
      <c r="A41" s="13" t="s">
        <v>601</v>
      </c>
      <c r="B41" s="13" t="s">
        <v>225</v>
      </c>
      <c r="C41" s="13" t="s">
        <v>460</v>
      </c>
      <c r="D41" s="13" t="s">
        <v>561</v>
      </c>
      <c r="E41" s="13" t="s">
        <v>541</v>
      </c>
      <c r="F41" s="17" t="s">
        <v>454</v>
      </c>
      <c r="G41" s="13"/>
      <c r="H41" s="14" t="s">
        <v>462</v>
      </c>
      <c r="I41" s="14" t="s">
        <v>190</v>
      </c>
    </row>
    <row r="42" spans="1:9">
      <c r="A42" s="13" t="s">
        <v>602</v>
      </c>
      <c r="B42" s="13" t="s">
        <v>226</v>
      </c>
      <c r="C42" s="13" t="s">
        <v>325</v>
      </c>
      <c r="D42" s="23" t="s">
        <v>559</v>
      </c>
      <c r="E42" s="13" t="s">
        <v>484</v>
      </c>
      <c r="F42" s="13" t="s">
        <v>316</v>
      </c>
      <c r="G42" s="13"/>
      <c r="H42" s="14" t="s">
        <v>326</v>
      </c>
      <c r="I42" s="14" t="s">
        <v>190</v>
      </c>
    </row>
    <row r="43" spans="1:9">
      <c r="A43" s="13" t="s">
        <v>603</v>
      </c>
      <c r="B43" s="13" t="s">
        <v>228</v>
      </c>
      <c r="C43" s="13" t="s">
        <v>312</v>
      </c>
      <c r="D43" s="23" t="s">
        <v>559</v>
      </c>
      <c r="E43" s="13" t="s">
        <v>484</v>
      </c>
      <c r="F43" s="13" t="s">
        <v>316</v>
      </c>
      <c r="G43" s="13"/>
      <c r="H43" s="14" t="s">
        <v>314</v>
      </c>
      <c r="I43" s="14" t="s">
        <v>190</v>
      </c>
    </row>
    <row r="44" spans="1:9">
      <c r="A44" s="13" t="s">
        <v>604</v>
      </c>
      <c r="B44" s="13" t="s">
        <v>228</v>
      </c>
      <c r="C44" s="13" t="s">
        <v>335</v>
      </c>
      <c r="D44" s="23" t="s">
        <v>559</v>
      </c>
      <c r="E44" s="13" t="s">
        <v>484</v>
      </c>
      <c r="F44" s="13" t="s">
        <v>316</v>
      </c>
      <c r="G44" s="13"/>
      <c r="H44" s="14" t="s">
        <v>336</v>
      </c>
      <c r="I44" s="14" t="s">
        <v>190</v>
      </c>
    </row>
    <row r="45" spans="1:9">
      <c r="A45" s="13" t="s">
        <v>605</v>
      </c>
      <c r="B45" s="13" t="s">
        <v>228</v>
      </c>
      <c r="C45" s="13" t="s">
        <v>325</v>
      </c>
      <c r="D45" s="13" t="s">
        <v>561</v>
      </c>
      <c r="E45" s="13" t="s">
        <v>484</v>
      </c>
      <c r="F45" s="13" t="s">
        <v>316</v>
      </c>
      <c r="G45" s="13"/>
      <c r="H45" s="14" t="s">
        <v>326</v>
      </c>
      <c r="I45" s="14" t="s">
        <v>190</v>
      </c>
    </row>
    <row r="46" spans="1:9">
      <c r="A46" s="13" t="s">
        <v>606</v>
      </c>
      <c r="B46" s="13" t="s">
        <v>230</v>
      </c>
      <c r="C46" s="13" t="s">
        <v>342</v>
      </c>
      <c r="D46" s="23" t="s">
        <v>559</v>
      </c>
      <c r="E46" s="13" t="s">
        <v>490</v>
      </c>
      <c r="F46" s="13" t="s">
        <v>341</v>
      </c>
      <c r="G46" s="13"/>
      <c r="H46" s="14" t="s">
        <v>343</v>
      </c>
      <c r="I46" s="14" t="s">
        <v>193</v>
      </c>
    </row>
    <row r="47" spans="1:9">
      <c r="A47" s="13" t="s">
        <v>607</v>
      </c>
      <c r="B47" s="13" t="s">
        <v>230</v>
      </c>
      <c r="C47" s="13" t="s">
        <v>407</v>
      </c>
      <c r="D47" s="23" t="s">
        <v>559</v>
      </c>
      <c r="E47" s="13" t="s">
        <v>521</v>
      </c>
      <c r="F47" s="17" t="s">
        <v>411</v>
      </c>
      <c r="G47" s="13"/>
      <c r="H47" s="14" t="s">
        <v>409</v>
      </c>
      <c r="I47" s="14" t="s">
        <v>190</v>
      </c>
    </row>
    <row r="48" spans="1:9">
      <c r="A48" s="13" t="s">
        <v>608</v>
      </c>
      <c r="B48" s="13" t="s">
        <v>230</v>
      </c>
      <c r="C48" s="13" t="s">
        <v>467</v>
      </c>
      <c r="D48" s="13" t="s">
        <v>561</v>
      </c>
      <c r="E48" s="13" t="s">
        <v>511</v>
      </c>
      <c r="F48" s="17" t="s">
        <v>411</v>
      </c>
      <c r="G48" s="13"/>
      <c r="H48" s="14" t="s">
        <v>469</v>
      </c>
      <c r="I48" s="14" t="s">
        <v>190</v>
      </c>
    </row>
    <row r="49" spans="1:9">
      <c r="A49" s="13" t="s">
        <v>609</v>
      </c>
      <c r="B49" s="13" t="s">
        <v>232</v>
      </c>
      <c r="C49" s="13" t="s">
        <v>455</v>
      </c>
      <c r="D49" s="23" t="s">
        <v>559</v>
      </c>
      <c r="E49" s="13" t="s">
        <v>537</v>
      </c>
      <c r="F49" s="17" t="s">
        <v>454</v>
      </c>
      <c r="G49" s="14" t="s">
        <v>610</v>
      </c>
      <c r="H49" s="14" t="s">
        <v>456</v>
      </c>
      <c r="I49" s="18" t="s">
        <v>202</v>
      </c>
    </row>
    <row r="50" spans="1:9">
      <c r="A50" s="13" t="s">
        <v>611</v>
      </c>
      <c r="B50" s="13" t="s">
        <v>232</v>
      </c>
      <c r="C50" s="13" t="s">
        <v>445</v>
      </c>
      <c r="D50" s="23" t="s">
        <v>559</v>
      </c>
      <c r="E50" s="13" t="s">
        <v>537</v>
      </c>
      <c r="F50" s="17" t="s">
        <v>454</v>
      </c>
      <c r="G50" s="14" t="s">
        <v>610</v>
      </c>
      <c r="H50" s="14" t="s">
        <v>447</v>
      </c>
      <c r="I50" s="18" t="s">
        <v>202</v>
      </c>
    </row>
    <row r="51" spans="1:9">
      <c r="A51" s="13" t="s">
        <v>612</v>
      </c>
      <c r="B51" s="13" t="s">
        <v>232</v>
      </c>
      <c r="C51" s="13" t="s">
        <v>364</v>
      </c>
      <c r="D51" s="13" t="s">
        <v>561</v>
      </c>
      <c r="E51" s="13" t="s">
        <v>490</v>
      </c>
      <c r="F51" s="13" t="s">
        <v>341</v>
      </c>
      <c r="G51" s="13"/>
      <c r="H51" s="14" t="s">
        <v>365</v>
      </c>
      <c r="I51" s="14" t="s">
        <v>190</v>
      </c>
    </row>
    <row r="52" spans="1:9">
      <c r="A52" s="13" t="s">
        <v>613</v>
      </c>
      <c r="B52" s="13" t="s">
        <v>232</v>
      </c>
      <c r="C52" s="13" t="s">
        <v>460</v>
      </c>
      <c r="D52" s="13" t="s">
        <v>561</v>
      </c>
      <c r="E52" s="13" t="s">
        <v>541</v>
      </c>
      <c r="F52" s="17" t="s">
        <v>454</v>
      </c>
      <c r="G52" s="13"/>
      <c r="H52" s="14" t="s">
        <v>462</v>
      </c>
      <c r="I52" s="14" t="s">
        <v>190</v>
      </c>
    </row>
    <row r="53" spans="1:9">
      <c r="A53" s="13" t="s">
        <v>614</v>
      </c>
      <c r="B53" s="13" t="s">
        <v>235</v>
      </c>
      <c r="C53" s="13" t="s">
        <v>342</v>
      </c>
      <c r="D53" s="23" t="s">
        <v>559</v>
      </c>
      <c r="E53" s="13" t="s">
        <v>490</v>
      </c>
      <c r="F53" s="13" t="s">
        <v>341</v>
      </c>
      <c r="G53" s="13"/>
      <c r="H53" s="14" t="s">
        <v>343</v>
      </c>
      <c r="I53" s="14" t="s">
        <v>193</v>
      </c>
    </row>
    <row r="54" spans="1:9">
      <c r="A54" s="13" t="s">
        <v>615</v>
      </c>
      <c r="B54" s="13" t="s">
        <v>235</v>
      </c>
      <c r="C54" s="13" t="s">
        <v>467</v>
      </c>
      <c r="D54" s="13" t="s">
        <v>561</v>
      </c>
      <c r="E54" s="13" t="s">
        <v>511</v>
      </c>
      <c r="F54" s="17" t="s">
        <v>411</v>
      </c>
      <c r="G54" s="13"/>
      <c r="H54" s="14" t="s">
        <v>469</v>
      </c>
      <c r="I54" s="14" t="s">
        <v>190</v>
      </c>
    </row>
    <row r="55" spans="1:9">
      <c r="A55" s="13" t="s">
        <v>616</v>
      </c>
      <c r="B55" s="13" t="s">
        <v>237</v>
      </c>
      <c r="C55" s="13" t="s">
        <v>319</v>
      </c>
      <c r="D55" s="23" t="s">
        <v>559</v>
      </c>
      <c r="E55" s="13" t="s">
        <v>484</v>
      </c>
      <c r="F55" s="13" t="s">
        <v>316</v>
      </c>
      <c r="G55" s="13"/>
      <c r="H55" s="14" t="s">
        <v>320</v>
      </c>
      <c r="I55" s="14" t="s">
        <v>190</v>
      </c>
    </row>
    <row r="56" spans="1:9">
      <c r="A56" s="13" t="s">
        <v>617</v>
      </c>
      <c r="B56" s="13" t="s">
        <v>237</v>
      </c>
      <c r="C56" s="13" t="s">
        <v>370</v>
      </c>
      <c r="D56" s="23" t="s">
        <v>559</v>
      </c>
      <c r="E56" s="13" t="s">
        <v>495</v>
      </c>
      <c r="F56" s="13" t="s">
        <v>341</v>
      </c>
      <c r="G56" s="13"/>
      <c r="H56" s="14" t="s">
        <v>372</v>
      </c>
      <c r="I56" s="14" t="s">
        <v>193</v>
      </c>
    </row>
    <row r="57" spans="1:9">
      <c r="A57" s="13" t="s">
        <v>618</v>
      </c>
      <c r="B57" s="13" t="s">
        <v>237</v>
      </c>
      <c r="C57" s="13" t="s">
        <v>321</v>
      </c>
      <c r="D57" s="13" t="s">
        <v>561</v>
      </c>
      <c r="E57" s="13" t="s">
        <v>484</v>
      </c>
      <c r="F57" s="13" t="s">
        <v>316</v>
      </c>
      <c r="G57" s="13"/>
      <c r="H57" s="14" t="s">
        <v>322</v>
      </c>
      <c r="I57" s="14" t="s">
        <v>190</v>
      </c>
    </row>
    <row r="58" spans="1:9">
      <c r="A58" s="13" t="s">
        <v>619</v>
      </c>
      <c r="B58" s="13" t="s">
        <v>237</v>
      </c>
      <c r="C58" s="13" t="s">
        <v>323</v>
      </c>
      <c r="D58" s="13" t="s">
        <v>561</v>
      </c>
      <c r="E58" s="13" t="s">
        <v>484</v>
      </c>
      <c r="F58" s="13" t="s">
        <v>316</v>
      </c>
      <c r="G58" s="13"/>
      <c r="H58" s="14" t="s">
        <v>324</v>
      </c>
      <c r="I58" s="14" t="s">
        <v>190</v>
      </c>
    </row>
    <row r="59" spans="1:9">
      <c r="A59" s="13" t="s">
        <v>620</v>
      </c>
      <c r="B59" s="13" t="s">
        <v>239</v>
      </c>
      <c r="C59" s="13" t="s">
        <v>312</v>
      </c>
      <c r="D59" s="23" t="s">
        <v>559</v>
      </c>
      <c r="E59" s="13" t="s">
        <v>484</v>
      </c>
      <c r="F59" s="13" t="s">
        <v>316</v>
      </c>
      <c r="G59" s="13"/>
      <c r="H59" s="14" t="s">
        <v>314</v>
      </c>
      <c r="I59" s="14" t="s">
        <v>190</v>
      </c>
    </row>
    <row r="60" spans="1:9">
      <c r="A60" s="13" t="s">
        <v>621</v>
      </c>
      <c r="B60" s="13" t="s">
        <v>239</v>
      </c>
      <c r="C60" s="13" t="s">
        <v>390</v>
      </c>
      <c r="D60" s="23" t="s">
        <v>559</v>
      </c>
      <c r="E60" s="13" t="s">
        <v>499</v>
      </c>
      <c r="F60" s="13" t="s">
        <v>341</v>
      </c>
      <c r="G60" s="13"/>
      <c r="H60" s="14" t="s">
        <v>392</v>
      </c>
      <c r="I60" s="18" t="s">
        <v>202</v>
      </c>
    </row>
    <row r="61" spans="1:9">
      <c r="A61" s="13" t="s">
        <v>622</v>
      </c>
      <c r="B61" s="13" t="s">
        <v>239</v>
      </c>
      <c r="C61" s="13" t="s">
        <v>380</v>
      </c>
      <c r="D61" s="13" t="s">
        <v>561</v>
      </c>
      <c r="E61" s="13" t="s">
        <v>495</v>
      </c>
      <c r="F61" s="13" t="s">
        <v>341</v>
      </c>
      <c r="G61" s="14" t="s">
        <v>623</v>
      </c>
      <c r="H61" s="14" t="s">
        <v>381</v>
      </c>
      <c r="I61" s="18" t="s">
        <v>202</v>
      </c>
    </row>
    <row r="62" spans="1:9">
      <c r="A62" s="13" t="s">
        <v>624</v>
      </c>
      <c r="B62" s="13" t="s">
        <v>241</v>
      </c>
      <c r="C62" s="13" t="s">
        <v>390</v>
      </c>
      <c r="D62" s="23" t="s">
        <v>559</v>
      </c>
      <c r="E62" s="13" t="s">
        <v>545</v>
      </c>
      <c r="F62" s="13" t="s">
        <v>341</v>
      </c>
      <c r="G62" s="13"/>
      <c r="H62" s="14" t="s">
        <v>392</v>
      </c>
      <c r="I62" s="18" t="s">
        <v>202</v>
      </c>
    </row>
    <row r="63" spans="1:9">
      <c r="A63" s="13" t="s">
        <v>625</v>
      </c>
      <c r="B63" s="13" t="s">
        <v>241</v>
      </c>
      <c r="C63" s="13" t="s">
        <v>395</v>
      </c>
      <c r="D63" s="23" t="s">
        <v>559</v>
      </c>
      <c r="E63" s="13" t="s">
        <v>499</v>
      </c>
      <c r="F63" s="13" t="s">
        <v>341</v>
      </c>
      <c r="G63" s="13"/>
      <c r="H63" s="14" t="s">
        <v>396</v>
      </c>
      <c r="I63" s="18" t="s">
        <v>202</v>
      </c>
    </row>
    <row r="64" spans="1:9">
      <c r="A64" s="13" t="s">
        <v>626</v>
      </c>
      <c r="B64" s="13" t="s">
        <v>241</v>
      </c>
      <c r="C64" s="13" t="s">
        <v>398</v>
      </c>
      <c r="D64" s="13" t="s">
        <v>561</v>
      </c>
      <c r="E64" s="13" t="s">
        <v>490</v>
      </c>
      <c r="F64" s="13" t="s">
        <v>341</v>
      </c>
      <c r="G64" s="13"/>
      <c r="H64" s="14" t="s">
        <v>399</v>
      </c>
      <c r="I64" s="14" t="s">
        <v>193</v>
      </c>
    </row>
    <row r="65" spans="1:9">
      <c r="A65" s="13" t="s">
        <v>627</v>
      </c>
      <c r="B65" s="13" t="s">
        <v>243</v>
      </c>
      <c r="C65" s="13" t="s">
        <v>445</v>
      </c>
      <c r="D65" s="23" t="s">
        <v>559</v>
      </c>
      <c r="E65" s="13" t="s">
        <v>537</v>
      </c>
      <c r="F65" s="17" t="s">
        <v>454</v>
      </c>
      <c r="G65" s="14" t="s">
        <v>575</v>
      </c>
      <c r="H65" s="14" t="s">
        <v>447</v>
      </c>
      <c r="I65" s="18" t="s">
        <v>202</v>
      </c>
    </row>
    <row r="66" spans="1:9">
      <c r="A66" s="13" t="s">
        <v>628</v>
      </c>
      <c r="B66" s="13" t="s">
        <v>243</v>
      </c>
      <c r="C66" s="13" t="s">
        <v>463</v>
      </c>
      <c r="D66" s="23" t="s">
        <v>559</v>
      </c>
      <c r="E66" s="13" t="s">
        <v>507</v>
      </c>
      <c r="F66" s="13" t="s">
        <v>341</v>
      </c>
      <c r="G66" s="13"/>
      <c r="H66" s="14" t="s">
        <v>464</v>
      </c>
      <c r="I66" s="14" t="s">
        <v>190</v>
      </c>
    </row>
    <row r="67" spans="1:9">
      <c r="A67" s="13" t="s">
        <v>629</v>
      </c>
      <c r="B67" s="13" t="s">
        <v>243</v>
      </c>
      <c r="C67" s="13" t="s">
        <v>451</v>
      </c>
      <c r="D67" s="13" t="s">
        <v>561</v>
      </c>
      <c r="E67" s="13" t="s">
        <v>537</v>
      </c>
      <c r="F67" s="17" t="s">
        <v>454</v>
      </c>
      <c r="G67" s="13"/>
      <c r="H67" s="14" t="s">
        <v>452</v>
      </c>
      <c r="I67" s="18" t="s">
        <v>202</v>
      </c>
    </row>
    <row r="68" spans="1:9">
      <c r="A68" s="13" t="s">
        <v>630</v>
      </c>
      <c r="B68" s="13" t="s">
        <v>245</v>
      </c>
      <c r="C68" s="13" t="s">
        <v>342</v>
      </c>
      <c r="D68" s="23" t="s">
        <v>559</v>
      </c>
      <c r="E68" s="13" t="s">
        <v>490</v>
      </c>
      <c r="F68" s="13" t="s">
        <v>341</v>
      </c>
      <c r="G68" s="13"/>
      <c r="H68" s="14" t="s">
        <v>343</v>
      </c>
      <c r="I68" s="14" t="s">
        <v>193</v>
      </c>
    </row>
    <row r="69" spans="1:9">
      <c r="A69" s="13" t="s">
        <v>631</v>
      </c>
      <c r="B69" s="13" t="s">
        <v>245</v>
      </c>
      <c r="C69" s="13" t="s">
        <v>467</v>
      </c>
      <c r="D69" s="13" t="s">
        <v>561</v>
      </c>
      <c r="E69" s="13" t="s">
        <v>511</v>
      </c>
      <c r="F69" s="17" t="s">
        <v>411</v>
      </c>
      <c r="G69" s="13"/>
      <c r="H69" s="14" t="s">
        <v>469</v>
      </c>
      <c r="I69" s="14" t="s">
        <v>190</v>
      </c>
    </row>
    <row r="70" spans="1:9">
      <c r="A70" s="13" t="s">
        <v>632</v>
      </c>
      <c r="B70" s="13" t="s">
        <v>247</v>
      </c>
      <c r="C70" s="13" t="s">
        <v>390</v>
      </c>
      <c r="D70" s="23" t="s">
        <v>559</v>
      </c>
      <c r="E70" s="13" t="s">
        <v>499</v>
      </c>
      <c r="F70" s="13" t="s">
        <v>341</v>
      </c>
      <c r="G70" s="13"/>
      <c r="H70" s="14" t="s">
        <v>392</v>
      </c>
      <c r="I70" s="18" t="s">
        <v>202</v>
      </c>
    </row>
    <row r="71" spans="1:9">
      <c r="A71" s="13" t="s">
        <v>633</v>
      </c>
      <c r="B71" s="13" t="s">
        <v>247</v>
      </c>
      <c r="C71" s="13" t="s">
        <v>350</v>
      </c>
      <c r="D71" s="13" t="s">
        <v>561</v>
      </c>
      <c r="E71" s="13" t="s">
        <v>490</v>
      </c>
      <c r="F71" s="13" t="s">
        <v>341</v>
      </c>
      <c r="G71" s="13"/>
      <c r="H71" s="14" t="s">
        <v>351</v>
      </c>
      <c r="I71" s="14" t="s">
        <v>193</v>
      </c>
    </row>
    <row r="72" spans="1:9">
      <c r="A72" s="13" t="s">
        <v>634</v>
      </c>
      <c r="B72" s="13" t="s">
        <v>250</v>
      </c>
      <c r="C72" s="13" t="s">
        <v>312</v>
      </c>
      <c r="D72" s="23" t="s">
        <v>559</v>
      </c>
      <c r="E72" s="13" t="s">
        <v>484</v>
      </c>
      <c r="F72" s="13" t="s">
        <v>316</v>
      </c>
      <c r="G72" s="14" t="s">
        <v>635</v>
      </c>
      <c r="H72" s="14" t="s">
        <v>314</v>
      </c>
      <c r="I72" s="14" t="s">
        <v>190</v>
      </c>
    </row>
    <row r="73" spans="1:9">
      <c r="A73" s="13" t="s">
        <v>636</v>
      </c>
      <c r="B73" s="13" t="s">
        <v>253</v>
      </c>
      <c r="C73" s="13" t="s">
        <v>350</v>
      </c>
      <c r="D73" s="23" t="s">
        <v>559</v>
      </c>
      <c r="E73" s="13" t="s">
        <v>490</v>
      </c>
      <c r="F73" s="13" t="s">
        <v>341</v>
      </c>
      <c r="G73" s="13"/>
      <c r="H73" s="14" t="s">
        <v>351</v>
      </c>
      <c r="I73" s="14" t="s">
        <v>193</v>
      </c>
    </row>
    <row r="74" spans="1:9">
      <c r="A74" s="13" t="s">
        <v>637</v>
      </c>
      <c r="B74" s="13" t="s">
        <v>253</v>
      </c>
      <c r="C74" s="13" t="s">
        <v>384</v>
      </c>
      <c r="D74" s="23" t="s">
        <v>559</v>
      </c>
      <c r="E74" s="13" t="s">
        <v>490</v>
      </c>
      <c r="F74" s="13" t="s">
        <v>341</v>
      </c>
      <c r="G74" s="13"/>
      <c r="H74" s="14" t="s">
        <v>385</v>
      </c>
      <c r="I74" s="14" t="s">
        <v>193</v>
      </c>
    </row>
    <row r="75" spans="1:9">
      <c r="A75" s="13" t="s">
        <v>638</v>
      </c>
      <c r="B75" s="13" t="s">
        <v>253</v>
      </c>
      <c r="C75" s="13" t="s">
        <v>387</v>
      </c>
      <c r="D75" s="13" t="s">
        <v>561</v>
      </c>
      <c r="E75" s="13" t="s">
        <v>495</v>
      </c>
      <c r="F75" s="13" t="s">
        <v>341</v>
      </c>
      <c r="G75" s="13"/>
      <c r="H75" s="14" t="s">
        <v>388</v>
      </c>
      <c r="I75" s="18" t="s">
        <v>202</v>
      </c>
    </row>
    <row r="76" spans="1:9">
      <c r="A76" s="13" t="s">
        <v>639</v>
      </c>
      <c r="B76" s="13" t="s">
        <v>253</v>
      </c>
      <c r="C76" s="13" t="s">
        <v>463</v>
      </c>
      <c r="D76" s="13" t="s">
        <v>561</v>
      </c>
      <c r="E76" s="13" t="s">
        <v>507</v>
      </c>
      <c r="F76" s="13" t="s">
        <v>341</v>
      </c>
      <c r="G76" s="13"/>
      <c r="H76" s="14" t="s">
        <v>464</v>
      </c>
      <c r="I76" s="14" t="s">
        <v>190</v>
      </c>
    </row>
    <row r="77" spans="1:9">
      <c r="A77" s="13" t="s">
        <v>640</v>
      </c>
      <c r="B77" s="13" t="s">
        <v>255</v>
      </c>
      <c r="C77" s="13" t="s">
        <v>445</v>
      </c>
      <c r="D77" s="23" t="s">
        <v>559</v>
      </c>
      <c r="E77" s="13" t="s">
        <v>537</v>
      </c>
      <c r="F77" s="17" t="s">
        <v>454</v>
      </c>
      <c r="G77" s="14" t="s">
        <v>641</v>
      </c>
      <c r="H77" s="14" t="s">
        <v>447</v>
      </c>
      <c r="I77" s="18" t="s">
        <v>202</v>
      </c>
    </row>
    <row r="78" spans="1:9">
      <c r="A78" s="13" t="s">
        <v>642</v>
      </c>
      <c r="B78" s="13" t="s">
        <v>255</v>
      </c>
      <c r="C78" s="13" t="s">
        <v>451</v>
      </c>
      <c r="D78" s="23" t="s">
        <v>559</v>
      </c>
      <c r="E78" s="13" t="s">
        <v>537</v>
      </c>
      <c r="F78" s="17" t="s">
        <v>454</v>
      </c>
      <c r="G78" s="14" t="s">
        <v>641</v>
      </c>
      <c r="H78" s="14" t="s">
        <v>452</v>
      </c>
      <c r="I78" s="18" t="s">
        <v>202</v>
      </c>
    </row>
    <row r="79" spans="1:9">
      <c r="A79" s="13" t="s">
        <v>643</v>
      </c>
      <c r="B79" s="13" t="s">
        <v>255</v>
      </c>
      <c r="C79" s="13" t="s">
        <v>413</v>
      </c>
      <c r="D79" s="13" t="s">
        <v>561</v>
      </c>
      <c r="E79" s="13" t="s">
        <v>521</v>
      </c>
      <c r="F79" s="17" t="s">
        <v>411</v>
      </c>
      <c r="G79" s="13"/>
      <c r="H79" s="14" t="s">
        <v>414</v>
      </c>
      <c r="I79" s="14" t="s">
        <v>190</v>
      </c>
    </row>
    <row r="80" spans="1:9">
      <c r="A80" s="13" t="s">
        <v>644</v>
      </c>
      <c r="B80" s="13" t="s">
        <v>255</v>
      </c>
      <c r="C80" s="13" t="s">
        <v>460</v>
      </c>
      <c r="D80" s="13" t="s">
        <v>561</v>
      </c>
      <c r="E80" s="13" t="s">
        <v>541</v>
      </c>
      <c r="F80" s="17" t="s">
        <v>454</v>
      </c>
      <c r="G80" s="13"/>
      <c r="H80" s="14" t="s">
        <v>462</v>
      </c>
      <c r="I80" s="14" t="s">
        <v>190</v>
      </c>
    </row>
    <row r="81" spans="1:9">
      <c r="A81" s="13" t="s">
        <v>645</v>
      </c>
      <c r="B81" s="13" t="s">
        <v>257</v>
      </c>
      <c r="C81" s="13" t="s">
        <v>390</v>
      </c>
      <c r="D81" s="23" t="s">
        <v>559</v>
      </c>
      <c r="E81" s="13" t="s">
        <v>499</v>
      </c>
      <c r="F81" s="13" t="s">
        <v>341</v>
      </c>
      <c r="G81" s="13"/>
      <c r="H81" s="14" t="s">
        <v>392</v>
      </c>
      <c r="I81" s="18" t="s">
        <v>202</v>
      </c>
    </row>
    <row r="82" spans="1:9">
      <c r="A82" s="13" t="s">
        <v>646</v>
      </c>
      <c r="B82" s="13" t="s">
        <v>257</v>
      </c>
      <c r="C82" s="13" t="s">
        <v>350</v>
      </c>
      <c r="D82" s="13" t="s">
        <v>561</v>
      </c>
      <c r="E82" s="13" t="s">
        <v>490</v>
      </c>
      <c r="F82" s="13" t="s">
        <v>341</v>
      </c>
      <c r="G82" s="13"/>
      <c r="H82" s="14" t="s">
        <v>351</v>
      </c>
      <c r="I82" s="14" t="s">
        <v>193</v>
      </c>
    </row>
    <row r="83" spans="1:9">
      <c r="A83" s="13" t="s">
        <v>647</v>
      </c>
      <c r="B83" s="13" t="s">
        <v>259</v>
      </c>
      <c r="C83" s="13" t="s">
        <v>331</v>
      </c>
      <c r="D83" s="23" t="s">
        <v>559</v>
      </c>
      <c r="E83" s="13" t="s">
        <v>484</v>
      </c>
      <c r="F83" s="13" t="s">
        <v>316</v>
      </c>
      <c r="G83" s="13"/>
      <c r="H83" s="14" t="s">
        <v>332</v>
      </c>
      <c r="I83" s="14" t="s">
        <v>190</v>
      </c>
    </row>
    <row r="84" spans="1:9">
      <c r="A84" s="13" t="s">
        <v>648</v>
      </c>
      <c r="B84" s="13" t="s">
        <v>259</v>
      </c>
      <c r="C84" s="13" t="s">
        <v>398</v>
      </c>
      <c r="D84" s="13" t="s">
        <v>561</v>
      </c>
      <c r="E84" s="13" t="s">
        <v>490</v>
      </c>
      <c r="F84" s="13" t="s">
        <v>341</v>
      </c>
      <c r="G84" s="13"/>
      <c r="H84" s="14" t="s">
        <v>399</v>
      </c>
      <c r="I84" s="14" t="s">
        <v>193</v>
      </c>
    </row>
    <row r="85" spans="1:9">
      <c r="A85" s="13" t="s">
        <v>649</v>
      </c>
      <c r="B85" s="13" t="s">
        <v>261</v>
      </c>
      <c r="C85" s="13" t="s">
        <v>331</v>
      </c>
      <c r="D85" s="23" t="s">
        <v>559</v>
      </c>
      <c r="E85" s="13" t="s">
        <v>495</v>
      </c>
      <c r="F85" s="13" t="s">
        <v>341</v>
      </c>
      <c r="G85" s="14" t="s">
        <v>650</v>
      </c>
      <c r="H85" s="14" t="s">
        <v>332</v>
      </c>
      <c r="I85" s="14" t="s">
        <v>190</v>
      </c>
    </row>
    <row r="86" spans="1:9">
      <c r="A86" s="13" t="s">
        <v>651</v>
      </c>
      <c r="B86" s="13" t="s">
        <v>261</v>
      </c>
      <c r="C86" s="13" t="s">
        <v>463</v>
      </c>
      <c r="D86" s="13" t="s">
        <v>561</v>
      </c>
      <c r="E86" s="13" t="s">
        <v>507</v>
      </c>
      <c r="F86" s="13" t="s">
        <v>341</v>
      </c>
      <c r="G86" s="13"/>
      <c r="H86" s="14" t="s">
        <v>464</v>
      </c>
      <c r="I86" s="14" t="s">
        <v>190</v>
      </c>
    </row>
    <row r="87" spans="1:9">
      <c r="A87" s="13" t="s">
        <v>652</v>
      </c>
      <c r="B87" s="13" t="s">
        <v>261</v>
      </c>
      <c r="C87" s="13" t="s">
        <v>445</v>
      </c>
      <c r="D87" s="13" t="s">
        <v>561</v>
      </c>
      <c r="E87" s="13" t="s">
        <v>537</v>
      </c>
      <c r="F87" s="17" t="s">
        <v>454</v>
      </c>
      <c r="G87" s="13"/>
      <c r="H87" s="14" t="s">
        <v>447</v>
      </c>
      <c r="I87" s="18" t="s">
        <v>202</v>
      </c>
    </row>
    <row r="88" spans="1:9">
      <c r="A88" s="13" t="s">
        <v>653</v>
      </c>
      <c r="B88" s="13" t="s">
        <v>264</v>
      </c>
      <c r="C88" s="13" t="s">
        <v>312</v>
      </c>
      <c r="D88" s="23" t="s">
        <v>559</v>
      </c>
      <c r="E88" s="13" t="s">
        <v>484</v>
      </c>
      <c r="F88" s="13" t="s">
        <v>316</v>
      </c>
      <c r="G88" s="13"/>
      <c r="H88" s="14" t="s">
        <v>314</v>
      </c>
      <c r="I88" s="14" t="s">
        <v>190</v>
      </c>
    </row>
    <row r="89" spans="1:9">
      <c r="A89" s="13" t="s">
        <v>654</v>
      </c>
      <c r="B89" s="13" t="s">
        <v>264</v>
      </c>
      <c r="C89" s="13" t="s">
        <v>319</v>
      </c>
      <c r="D89" s="23" t="s">
        <v>559</v>
      </c>
      <c r="E89" s="13" t="s">
        <v>484</v>
      </c>
      <c r="F89" s="13" t="s">
        <v>316</v>
      </c>
      <c r="G89" s="13"/>
      <c r="H89" s="14" t="s">
        <v>320</v>
      </c>
      <c r="I89" s="14" t="s">
        <v>190</v>
      </c>
    </row>
    <row r="90" spans="1:9">
      <c r="A90" s="13" t="s">
        <v>655</v>
      </c>
      <c r="B90" s="13" t="s">
        <v>266</v>
      </c>
      <c r="C90" s="13" t="s">
        <v>455</v>
      </c>
      <c r="D90" s="23" t="s">
        <v>559</v>
      </c>
      <c r="E90" s="13" t="s">
        <v>537</v>
      </c>
      <c r="F90" s="17" t="s">
        <v>454</v>
      </c>
      <c r="G90" s="14" t="s">
        <v>575</v>
      </c>
      <c r="H90" s="14" t="s">
        <v>456</v>
      </c>
      <c r="I90" s="18" t="s">
        <v>202</v>
      </c>
    </row>
    <row r="91" spans="1:9">
      <c r="A91" s="13" t="s">
        <v>656</v>
      </c>
      <c r="B91" s="13" t="s">
        <v>266</v>
      </c>
      <c r="C91" s="13" t="s">
        <v>460</v>
      </c>
      <c r="D91" s="13" t="s">
        <v>561</v>
      </c>
      <c r="E91" s="13" t="s">
        <v>541</v>
      </c>
      <c r="F91" s="17" t="s">
        <v>454</v>
      </c>
      <c r="G91" s="13"/>
      <c r="H91" s="14" t="s">
        <v>462</v>
      </c>
      <c r="I91" s="14" t="s">
        <v>190</v>
      </c>
    </row>
    <row r="92" spans="1:9">
      <c r="A92" s="13" t="s">
        <v>657</v>
      </c>
      <c r="B92" s="13" t="s">
        <v>268</v>
      </c>
      <c r="C92" s="13" t="s">
        <v>312</v>
      </c>
      <c r="D92" s="23" t="s">
        <v>559</v>
      </c>
      <c r="E92" s="13" t="s">
        <v>484</v>
      </c>
      <c r="F92" s="13" t="s">
        <v>316</v>
      </c>
      <c r="G92" s="13"/>
      <c r="H92" s="14" t="s">
        <v>314</v>
      </c>
      <c r="I92" s="14" t="s">
        <v>190</v>
      </c>
    </row>
    <row r="93" spans="1:9">
      <c r="A93" s="13" t="s">
        <v>658</v>
      </c>
      <c r="B93" s="13" t="s">
        <v>268</v>
      </c>
      <c r="C93" s="13" t="s">
        <v>430</v>
      </c>
      <c r="D93" s="23" t="s">
        <v>559</v>
      </c>
      <c r="E93" s="13" t="s">
        <v>528</v>
      </c>
      <c r="F93" s="13" t="s">
        <v>341</v>
      </c>
      <c r="G93" s="13"/>
      <c r="H93" s="14" t="s">
        <v>431</v>
      </c>
      <c r="I93" s="14" t="s">
        <v>190</v>
      </c>
    </row>
    <row r="94" spans="1:9">
      <c r="A94" s="13" t="s">
        <v>659</v>
      </c>
      <c r="B94" s="13" t="s">
        <v>268</v>
      </c>
      <c r="C94" s="13" t="s">
        <v>329</v>
      </c>
      <c r="D94" s="13" t="s">
        <v>561</v>
      </c>
      <c r="E94" s="13" t="s">
        <v>484</v>
      </c>
      <c r="F94" s="13" t="s">
        <v>316</v>
      </c>
      <c r="G94" s="13"/>
      <c r="H94" s="14" t="s">
        <v>330</v>
      </c>
      <c r="I94" s="14" t="s">
        <v>190</v>
      </c>
    </row>
    <row r="95" spans="1:9">
      <c r="A95" s="13" t="s">
        <v>660</v>
      </c>
      <c r="B95" s="13" t="s">
        <v>270</v>
      </c>
      <c r="C95" s="13" t="s">
        <v>426</v>
      </c>
      <c r="D95" s="23" t="s">
        <v>559</v>
      </c>
      <c r="E95" s="13" t="s">
        <v>528</v>
      </c>
      <c r="F95" s="13" t="s">
        <v>341</v>
      </c>
      <c r="G95" s="13"/>
      <c r="H95" s="14" t="s">
        <v>428</v>
      </c>
      <c r="I95" s="14" t="s">
        <v>190</v>
      </c>
    </row>
    <row r="96" spans="1:9">
      <c r="A96" s="13" t="s">
        <v>661</v>
      </c>
      <c r="B96" s="13" t="s">
        <v>270</v>
      </c>
      <c r="C96" s="13" t="s">
        <v>433</v>
      </c>
      <c r="D96" s="23" t="s">
        <v>559</v>
      </c>
      <c r="E96" s="13" t="s">
        <v>495</v>
      </c>
      <c r="F96" s="13" t="s">
        <v>341</v>
      </c>
      <c r="G96" s="13"/>
      <c r="H96" s="14" t="s">
        <v>434</v>
      </c>
      <c r="I96" s="14" t="s">
        <v>193</v>
      </c>
    </row>
    <row r="97" spans="1:9">
      <c r="A97" s="13" t="s">
        <v>662</v>
      </c>
      <c r="B97" s="13" t="s">
        <v>270</v>
      </c>
      <c r="C97" s="13" t="s">
        <v>436</v>
      </c>
      <c r="D97" s="23" t="s">
        <v>559</v>
      </c>
      <c r="E97" s="13" t="s">
        <v>495</v>
      </c>
      <c r="F97" s="13" t="s">
        <v>341</v>
      </c>
      <c r="G97" s="13"/>
      <c r="H97" s="14" t="s">
        <v>437</v>
      </c>
      <c r="I97" s="14" t="s">
        <v>190</v>
      </c>
    </row>
    <row r="98" spans="1:9">
      <c r="A98" s="13" t="s">
        <v>663</v>
      </c>
      <c r="B98" s="13" t="s">
        <v>270</v>
      </c>
      <c r="C98" s="13" t="s">
        <v>413</v>
      </c>
      <c r="D98" s="13" t="s">
        <v>561</v>
      </c>
      <c r="E98" s="13" t="s">
        <v>521</v>
      </c>
      <c r="F98" s="17" t="s">
        <v>411</v>
      </c>
      <c r="G98" s="13"/>
      <c r="H98" s="14" t="s">
        <v>414</v>
      </c>
      <c r="I98" s="14" t="s">
        <v>190</v>
      </c>
    </row>
    <row r="99" spans="1:9">
      <c r="A99" s="13" t="s">
        <v>664</v>
      </c>
      <c r="B99" s="13" t="s">
        <v>270</v>
      </c>
      <c r="C99" s="13" t="s">
        <v>423</v>
      </c>
      <c r="D99" s="13" t="s">
        <v>561</v>
      </c>
      <c r="E99" s="13" t="s">
        <v>521</v>
      </c>
      <c r="F99" s="17" t="s">
        <v>411</v>
      </c>
      <c r="G99" s="13"/>
      <c r="H99" s="14" t="s">
        <v>424</v>
      </c>
      <c r="I99" s="14" t="s">
        <v>190</v>
      </c>
    </row>
    <row r="100" spans="1:9">
      <c r="A100" s="13" t="s">
        <v>665</v>
      </c>
      <c r="B100" s="13" t="s">
        <v>273</v>
      </c>
      <c r="C100" s="13" t="s">
        <v>445</v>
      </c>
      <c r="D100" s="23" t="s">
        <v>559</v>
      </c>
      <c r="E100" s="13" t="s">
        <v>537</v>
      </c>
      <c r="F100" s="17" t="s">
        <v>454</v>
      </c>
      <c r="G100" s="14" t="s">
        <v>610</v>
      </c>
      <c r="H100" s="14" t="s">
        <v>447</v>
      </c>
      <c r="I100" s="18" t="s">
        <v>202</v>
      </c>
    </row>
    <row r="101" spans="1:9">
      <c r="A101" s="13" t="s">
        <v>666</v>
      </c>
      <c r="B101" s="13" t="s">
        <v>273</v>
      </c>
      <c r="C101" s="13" t="s">
        <v>463</v>
      </c>
      <c r="D101" s="23" t="s">
        <v>559</v>
      </c>
      <c r="E101" s="13" t="s">
        <v>507</v>
      </c>
      <c r="F101" s="13" t="s">
        <v>341</v>
      </c>
      <c r="G101" s="13"/>
      <c r="H101" s="14" t="s">
        <v>464</v>
      </c>
      <c r="I101" s="14" t="s">
        <v>190</v>
      </c>
    </row>
    <row r="102" spans="1:9">
      <c r="A102" s="13" t="s">
        <v>667</v>
      </c>
      <c r="B102" s="13" t="s">
        <v>273</v>
      </c>
      <c r="C102" s="13" t="s">
        <v>455</v>
      </c>
      <c r="D102" s="13" t="s">
        <v>561</v>
      </c>
      <c r="E102" s="13" t="s">
        <v>537</v>
      </c>
      <c r="F102" s="17" t="s">
        <v>454</v>
      </c>
      <c r="G102" s="13"/>
      <c r="H102" s="14" t="s">
        <v>456</v>
      </c>
      <c r="I102" s="18" t="s">
        <v>202</v>
      </c>
    </row>
    <row r="103" spans="1:9">
      <c r="A103" s="13" t="s">
        <v>668</v>
      </c>
      <c r="B103" s="13" t="s">
        <v>275</v>
      </c>
      <c r="C103" s="13" t="s">
        <v>463</v>
      </c>
      <c r="D103" s="23" t="s">
        <v>559</v>
      </c>
      <c r="E103" s="13" t="s">
        <v>507</v>
      </c>
      <c r="F103" s="13" t="s">
        <v>341</v>
      </c>
      <c r="G103" s="13"/>
      <c r="H103" s="14" t="s">
        <v>464</v>
      </c>
      <c r="I103" s="14" t="s">
        <v>190</v>
      </c>
    </row>
    <row r="104" spans="1:9">
      <c r="A104" s="13" t="s">
        <v>669</v>
      </c>
      <c r="B104" s="13" t="s">
        <v>275</v>
      </c>
      <c r="C104" s="13" t="s">
        <v>445</v>
      </c>
      <c r="D104" s="13" t="s">
        <v>561</v>
      </c>
      <c r="E104" s="13" t="s">
        <v>537</v>
      </c>
      <c r="F104" s="17" t="s">
        <v>454</v>
      </c>
      <c r="G104" s="13"/>
      <c r="H104" s="14" t="s">
        <v>447</v>
      </c>
      <c r="I104" s="18" t="s">
        <v>202</v>
      </c>
    </row>
    <row r="105" spans="1:9">
      <c r="A105" s="13" t="s">
        <v>670</v>
      </c>
      <c r="B105" s="13" t="s">
        <v>277</v>
      </c>
      <c r="C105" s="13" t="s">
        <v>337</v>
      </c>
      <c r="D105" s="23" t="s">
        <v>559</v>
      </c>
      <c r="E105" s="13" t="s">
        <v>490</v>
      </c>
      <c r="F105" s="13" t="s">
        <v>341</v>
      </c>
      <c r="G105" s="13"/>
      <c r="H105" s="14" t="s">
        <v>339</v>
      </c>
      <c r="I105" s="14" t="s">
        <v>193</v>
      </c>
    </row>
    <row r="106" spans="1:9">
      <c r="A106" s="13" t="s">
        <v>671</v>
      </c>
      <c r="B106" s="13" t="s">
        <v>277</v>
      </c>
      <c r="C106" s="13" t="s">
        <v>312</v>
      </c>
      <c r="D106" s="23" t="s">
        <v>559</v>
      </c>
      <c r="E106" s="13" t="s">
        <v>484</v>
      </c>
      <c r="F106" s="13" t="s">
        <v>316</v>
      </c>
      <c r="G106" s="13"/>
      <c r="H106" s="14" t="s">
        <v>314</v>
      </c>
      <c r="I106" s="14" t="s">
        <v>190</v>
      </c>
    </row>
    <row r="107" spans="1:9">
      <c r="A107" s="13" t="s">
        <v>672</v>
      </c>
      <c r="B107" s="13" t="s">
        <v>277</v>
      </c>
      <c r="C107" s="13" t="s">
        <v>350</v>
      </c>
      <c r="D107" s="13" t="s">
        <v>561</v>
      </c>
      <c r="E107" s="13" t="s">
        <v>490</v>
      </c>
      <c r="F107" s="13" t="s">
        <v>341</v>
      </c>
      <c r="G107" s="13"/>
      <c r="H107" s="14" t="s">
        <v>351</v>
      </c>
      <c r="I107" s="14" t="s">
        <v>193</v>
      </c>
    </row>
    <row r="108" spans="1:9">
      <c r="A108" s="13" t="s">
        <v>673</v>
      </c>
      <c r="B108" s="13" t="s">
        <v>279</v>
      </c>
      <c r="C108" s="13" t="s">
        <v>407</v>
      </c>
      <c r="D108" s="23" t="s">
        <v>559</v>
      </c>
      <c r="E108" s="13" t="s">
        <v>521</v>
      </c>
      <c r="F108" s="17" t="s">
        <v>411</v>
      </c>
      <c r="G108" s="13"/>
      <c r="H108" s="14" t="s">
        <v>409</v>
      </c>
      <c r="I108" s="14" t="s">
        <v>190</v>
      </c>
    </row>
    <row r="109" spans="1:9">
      <c r="A109" s="13" t="s">
        <v>674</v>
      </c>
      <c r="B109" s="13" t="s">
        <v>279</v>
      </c>
      <c r="C109" s="13" t="s">
        <v>415</v>
      </c>
      <c r="D109" s="13" t="s">
        <v>561</v>
      </c>
      <c r="E109" s="13" t="s">
        <v>490</v>
      </c>
      <c r="F109" s="13" t="s">
        <v>341</v>
      </c>
      <c r="G109" s="13"/>
      <c r="H109" s="14" t="s">
        <v>416</v>
      </c>
      <c r="I109" s="14" t="s">
        <v>190</v>
      </c>
    </row>
    <row r="110" spans="1:9">
      <c r="A110" s="13" t="s">
        <v>675</v>
      </c>
      <c r="B110" s="13" t="s">
        <v>281</v>
      </c>
      <c r="C110" s="13" t="s">
        <v>413</v>
      </c>
      <c r="D110" s="23" t="s">
        <v>559</v>
      </c>
      <c r="E110" s="13" t="s">
        <v>521</v>
      </c>
      <c r="F110" s="17" t="s">
        <v>411</v>
      </c>
      <c r="G110" s="14" t="s">
        <v>283</v>
      </c>
      <c r="H110" s="14" t="s">
        <v>414</v>
      </c>
      <c r="I110" s="14" t="s">
        <v>190</v>
      </c>
    </row>
    <row r="111" spans="1:9">
      <c r="A111" s="13" t="s">
        <v>676</v>
      </c>
      <c r="B111" s="13" t="s">
        <v>281</v>
      </c>
      <c r="C111" s="13" t="s">
        <v>445</v>
      </c>
      <c r="D111" s="23" t="s">
        <v>559</v>
      </c>
      <c r="E111" s="13" t="s">
        <v>537</v>
      </c>
      <c r="F111" s="17" t="s">
        <v>454</v>
      </c>
      <c r="G111" s="14" t="s">
        <v>283</v>
      </c>
      <c r="H111" s="14" t="s">
        <v>447</v>
      </c>
      <c r="I111" s="18" t="s">
        <v>202</v>
      </c>
    </row>
    <row r="112" spans="1:9">
      <c r="A112" s="13" t="s">
        <v>677</v>
      </c>
      <c r="B112" s="13" t="s">
        <v>281</v>
      </c>
      <c r="C112" s="13" t="s">
        <v>419</v>
      </c>
      <c r="D112" s="13" t="s">
        <v>561</v>
      </c>
      <c r="E112" s="13" t="s">
        <v>550</v>
      </c>
      <c r="F112" s="17" t="s">
        <v>411</v>
      </c>
      <c r="G112" s="13"/>
      <c r="H112" s="13" t="s">
        <v>420</v>
      </c>
      <c r="I112" s="14" t="s">
        <v>190</v>
      </c>
    </row>
    <row r="113" spans="1:9">
      <c r="A113" s="13" t="s">
        <v>678</v>
      </c>
      <c r="B113" s="13" t="s">
        <v>281</v>
      </c>
      <c r="C113" s="13" t="s">
        <v>451</v>
      </c>
      <c r="D113" s="13" t="s">
        <v>561</v>
      </c>
      <c r="E113" s="13" t="s">
        <v>537</v>
      </c>
      <c r="F113" s="17" t="s">
        <v>454</v>
      </c>
      <c r="G113" s="13"/>
      <c r="H113" s="14" t="s">
        <v>452</v>
      </c>
      <c r="I113" s="18" t="s">
        <v>202</v>
      </c>
    </row>
    <row r="114" spans="1:9">
      <c r="A114" s="13" t="s">
        <v>679</v>
      </c>
      <c r="B114" s="13" t="s">
        <v>284</v>
      </c>
      <c r="C114" s="13" t="s">
        <v>407</v>
      </c>
      <c r="D114" s="23" t="s">
        <v>559</v>
      </c>
      <c r="E114" s="13" t="s">
        <v>495</v>
      </c>
      <c r="F114" s="13" t="s">
        <v>341</v>
      </c>
      <c r="G114" s="13"/>
      <c r="H114" s="14" t="s">
        <v>409</v>
      </c>
      <c r="I114" s="14" t="s">
        <v>190</v>
      </c>
    </row>
    <row r="115" spans="1:9">
      <c r="A115" s="13" t="s">
        <v>680</v>
      </c>
      <c r="B115" s="13" t="s">
        <v>286</v>
      </c>
      <c r="C115" s="13" t="s">
        <v>445</v>
      </c>
      <c r="D115" s="23" t="s">
        <v>559</v>
      </c>
      <c r="E115" s="13" t="s">
        <v>537</v>
      </c>
      <c r="F115" s="17" t="s">
        <v>454</v>
      </c>
      <c r="G115" s="13"/>
      <c r="H115" s="14" t="s">
        <v>447</v>
      </c>
      <c r="I115" s="18" t="s">
        <v>202</v>
      </c>
    </row>
    <row r="116" spans="1:9">
      <c r="A116" s="13" t="s">
        <v>681</v>
      </c>
      <c r="B116" s="13" t="s">
        <v>286</v>
      </c>
      <c r="C116" s="13" t="s">
        <v>460</v>
      </c>
      <c r="D116" s="23" t="s">
        <v>559</v>
      </c>
      <c r="E116" s="13" t="s">
        <v>541</v>
      </c>
      <c r="F116" s="17" t="s">
        <v>454</v>
      </c>
      <c r="G116" s="13"/>
      <c r="H116" s="14" t="s">
        <v>462</v>
      </c>
      <c r="I116" s="14" t="s">
        <v>190</v>
      </c>
    </row>
    <row r="117" spans="1:9">
      <c r="A117" s="13" t="s">
        <v>682</v>
      </c>
      <c r="B117" s="13" t="s">
        <v>288</v>
      </c>
      <c r="C117" s="13" t="s">
        <v>445</v>
      </c>
      <c r="D117" s="23" t="s">
        <v>559</v>
      </c>
      <c r="E117" s="13" t="s">
        <v>537</v>
      </c>
      <c r="F117" s="17" t="s">
        <v>454</v>
      </c>
      <c r="G117" s="14" t="s">
        <v>291</v>
      </c>
      <c r="H117" s="14" t="s">
        <v>447</v>
      </c>
      <c r="I117" s="18" t="s">
        <v>202</v>
      </c>
    </row>
    <row r="118" spans="1:9">
      <c r="A118" s="13" t="s">
        <v>683</v>
      </c>
      <c r="B118" s="13" t="s">
        <v>288</v>
      </c>
      <c r="C118" s="13" t="s">
        <v>455</v>
      </c>
      <c r="D118" s="23" t="s">
        <v>559</v>
      </c>
      <c r="E118" s="13" t="s">
        <v>537</v>
      </c>
      <c r="F118" s="17" t="s">
        <v>454</v>
      </c>
      <c r="G118" s="14" t="s">
        <v>291</v>
      </c>
      <c r="H118" s="14" t="s">
        <v>456</v>
      </c>
      <c r="I118" s="18" t="s">
        <v>202</v>
      </c>
    </row>
    <row r="119" spans="1:9">
      <c r="A119" s="13" t="s">
        <v>684</v>
      </c>
      <c r="B119" s="13" t="s">
        <v>288</v>
      </c>
      <c r="C119" s="13" t="s">
        <v>460</v>
      </c>
      <c r="D119" s="23" t="s">
        <v>559</v>
      </c>
      <c r="E119" s="13" t="s">
        <v>541</v>
      </c>
      <c r="F119" s="17" t="s">
        <v>454</v>
      </c>
      <c r="G119" s="14" t="s">
        <v>291</v>
      </c>
      <c r="H119" s="14" t="s">
        <v>462</v>
      </c>
      <c r="I119" s="14" t="s">
        <v>190</v>
      </c>
    </row>
    <row r="120" spans="1:9">
      <c r="A120" s="13" t="s">
        <v>685</v>
      </c>
      <c r="B120" s="13" t="s">
        <v>292</v>
      </c>
      <c r="C120" s="13" t="s">
        <v>445</v>
      </c>
      <c r="D120" s="23" t="s">
        <v>559</v>
      </c>
      <c r="E120" s="13" t="s">
        <v>537</v>
      </c>
      <c r="F120" s="17" t="s">
        <v>454</v>
      </c>
      <c r="G120" s="13"/>
      <c r="H120" s="14" t="s">
        <v>447</v>
      </c>
      <c r="I120" s="18" t="s">
        <v>202</v>
      </c>
    </row>
    <row r="121" spans="1:9">
      <c r="A121" s="13" t="s">
        <v>686</v>
      </c>
      <c r="B121" s="13" t="s">
        <v>292</v>
      </c>
      <c r="C121" s="13" t="s">
        <v>463</v>
      </c>
      <c r="D121" s="23" t="s">
        <v>559</v>
      </c>
      <c r="E121" s="13" t="s">
        <v>507</v>
      </c>
      <c r="F121" s="13" t="s">
        <v>341</v>
      </c>
      <c r="G121" s="13"/>
      <c r="H121" s="14" t="s">
        <v>464</v>
      </c>
      <c r="I121" s="14" t="s">
        <v>190</v>
      </c>
    </row>
    <row r="122" spans="1:9">
      <c r="A122" s="13" t="s">
        <v>687</v>
      </c>
      <c r="B122" s="13" t="s">
        <v>292</v>
      </c>
      <c r="C122" s="13" t="s">
        <v>413</v>
      </c>
      <c r="D122" s="13" t="s">
        <v>561</v>
      </c>
      <c r="E122" s="13" t="s">
        <v>521</v>
      </c>
      <c r="F122" s="17" t="s">
        <v>411</v>
      </c>
      <c r="G122" s="13"/>
      <c r="H122" s="14" t="s">
        <v>414</v>
      </c>
      <c r="I122" s="14" t="s">
        <v>190</v>
      </c>
    </row>
    <row r="123" spans="1:9">
      <c r="A123" s="13" t="s">
        <v>688</v>
      </c>
      <c r="B123" s="13" t="s">
        <v>295</v>
      </c>
      <c r="C123" s="13" t="s">
        <v>455</v>
      </c>
      <c r="D123" s="23" t="s">
        <v>559</v>
      </c>
      <c r="E123" s="13" t="s">
        <v>537</v>
      </c>
      <c r="F123" s="17" t="s">
        <v>454</v>
      </c>
      <c r="G123" s="13"/>
      <c r="H123" s="14" t="s">
        <v>456</v>
      </c>
      <c r="I123" s="18" t="s">
        <v>202</v>
      </c>
    </row>
    <row r="124" spans="1:9">
      <c r="A124" s="13" t="s">
        <v>689</v>
      </c>
      <c r="B124" s="13" t="s">
        <v>295</v>
      </c>
      <c r="C124" s="13" t="s">
        <v>426</v>
      </c>
      <c r="D124" s="23" t="s">
        <v>559</v>
      </c>
      <c r="E124" s="13" t="s">
        <v>528</v>
      </c>
      <c r="F124" s="13" t="s">
        <v>341</v>
      </c>
      <c r="G124" s="13"/>
      <c r="H124" s="14" t="s">
        <v>428</v>
      </c>
      <c r="I124" s="14" t="s">
        <v>190</v>
      </c>
    </row>
    <row r="125" spans="1:9">
      <c r="A125" s="13" t="s">
        <v>690</v>
      </c>
      <c r="B125" s="13" t="s">
        <v>295</v>
      </c>
      <c r="C125" s="13" t="s">
        <v>463</v>
      </c>
      <c r="D125" s="13" t="s">
        <v>561</v>
      </c>
      <c r="E125" s="13" t="s">
        <v>507</v>
      </c>
      <c r="F125" s="13" t="s">
        <v>341</v>
      </c>
      <c r="G125" s="13"/>
      <c r="H125" s="14" t="s">
        <v>464</v>
      </c>
      <c r="I125" s="14" t="s">
        <v>190</v>
      </c>
    </row>
    <row r="126" spans="1:9">
      <c r="A126" s="13" t="s">
        <v>691</v>
      </c>
      <c r="B126" s="13" t="s">
        <v>301</v>
      </c>
      <c r="C126" s="13" t="s">
        <v>312</v>
      </c>
      <c r="D126" s="23" t="s">
        <v>559</v>
      </c>
      <c r="E126" s="13" t="s">
        <v>484</v>
      </c>
      <c r="F126" s="13" t="s">
        <v>316</v>
      </c>
      <c r="G126" s="13"/>
      <c r="H126" s="14" t="s">
        <v>314</v>
      </c>
      <c r="I126" s="14" t="s">
        <v>190</v>
      </c>
    </row>
    <row r="127" spans="1:9">
      <c r="A127" s="13" t="s">
        <v>692</v>
      </c>
      <c r="B127" s="13" t="s">
        <v>301</v>
      </c>
      <c r="C127" s="13" t="s">
        <v>325</v>
      </c>
      <c r="D127" s="13" t="s">
        <v>561</v>
      </c>
      <c r="E127" s="13" t="s">
        <v>484</v>
      </c>
      <c r="F127" s="13" t="s">
        <v>316</v>
      </c>
      <c r="G127" s="13"/>
      <c r="H127" s="14" t="s">
        <v>326</v>
      </c>
      <c r="I127" s="14" t="s">
        <v>190</v>
      </c>
    </row>
    <row r="128" spans="1:9">
      <c r="A128" s="13" t="s">
        <v>693</v>
      </c>
      <c r="B128" s="13" t="s">
        <v>303</v>
      </c>
      <c r="C128" s="13" t="s">
        <v>390</v>
      </c>
      <c r="D128" s="23" t="s">
        <v>559</v>
      </c>
      <c r="E128" s="13" t="s">
        <v>499</v>
      </c>
      <c r="F128" s="13" t="s">
        <v>341</v>
      </c>
      <c r="G128" s="13"/>
      <c r="H128" s="14" t="s">
        <v>392</v>
      </c>
      <c r="I128" s="18" t="s">
        <v>202</v>
      </c>
    </row>
    <row r="129" spans="1:9">
      <c r="A129" s="13" t="s">
        <v>694</v>
      </c>
      <c r="B129" s="13" t="s">
        <v>303</v>
      </c>
      <c r="C129" s="13" t="s">
        <v>350</v>
      </c>
      <c r="D129" s="13" t="s">
        <v>561</v>
      </c>
      <c r="E129" s="13" t="s">
        <v>490</v>
      </c>
      <c r="F129" s="13" t="s">
        <v>341</v>
      </c>
      <c r="G129" s="13"/>
      <c r="H129" s="14" t="s">
        <v>351</v>
      </c>
      <c r="I129" s="14" t="s">
        <v>193</v>
      </c>
    </row>
  </sheetData>
  <autoFilter ref="A1:I129" xr:uid="{00000000-0009-0000-0000-000005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2" width="12" customWidth="1"/>
    <col min="3" max="3" width="22" customWidth="1"/>
    <col min="4" max="4" width="10" customWidth="1"/>
    <col min="5" max="6" width="8" customWidth="1"/>
    <col min="7" max="7" width="26" customWidth="1"/>
    <col min="8" max="8" width="52" customWidth="1"/>
    <col min="9" max="9" width="40" customWidth="1"/>
    <col min="10" max="10" width="10" customWidth="1"/>
    <col min="11" max="11" width="11" customWidth="1"/>
    <col min="12" max="12" width="10" customWidth="1"/>
    <col min="13" max="13" width="12" customWidth="1"/>
    <col min="14" max="14" width="16" customWidth="1"/>
    <col min="15" max="15" width="8" customWidth="1"/>
  </cols>
  <sheetData>
    <row r="1" spans="1:15" ht="30" customHeight="1">
      <c r="A1" s="11" t="s">
        <v>695</v>
      </c>
      <c r="B1" s="11" t="s">
        <v>696</v>
      </c>
      <c r="C1" s="12" t="s">
        <v>697</v>
      </c>
      <c r="D1" s="12" t="s">
        <v>698</v>
      </c>
      <c r="E1" s="12" t="s">
        <v>699</v>
      </c>
      <c r="F1" s="12" t="s">
        <v>700</v>
      </c>
      <c r="G1" s="12" t="s">
        <v>701</v>
      </c>
      <c r="H1" s="12" t="s">
        <v>702</v>
      </c>
      <c r="I1" s="12" t="s">
        <v>703</v>
      </c>
      <c r="J1" s="12" t="s">
        <v>704</v>
      </c>
      <c r="K1" s="12" t="s">
        <v>705</v>
      </c>
      <c r="L1" s="12" t="s">
        <v>706</v>
      </c>
      <c r="M1" s="12" t="s">
        <v>707</v>
      </c>
      <c r="N1" s="12" t="s">
        <v>708</v>
      </c>
      <c r="O1" s="12" t="s">
        <v>709</v>
      </c>
    </row>
    <row r="2" spans="1:15" ht="24">
      <c r="A2" s="13" t="s">
        <v>710</v>
      </c>
      <c r="B2" s="13" t="s">
        <v>711</v>
      </c>
      <c r="C2" s="14" t="s">
        <v>712</v>
      </c>
      <c r="D2" s="13" t="s">
        <v>77</v>
      </c>
      <c r="E2" s="13" t="s">
        <v>713</v>
      </c>
      <c r="F2" s="13" t="s">
        <v>714</v>
      </c>
      <c r="G2" s="14" t="s">
        <v>715</v>
      </c>
      <c r="H2" s="15" t="s">
        <v>716</v>
      </c>
      <c r="I2" s="24" t="s">
        <v>717</v>
      </c>
      <c r="J2" s="13" t="s">
        <v>718</v>
      </c>
      <c r="K2" s="13" t="s">
        <v>316</v>
      </c>
      <c r="L2" s="14" t="s">
        <v>719</v>
      </c>
      <c r="M2" s="14" t="s">
        <v>720</v>
      </c>
      <c r="N2" s="13" t="s">
        <v>721</v>
      </c>
      <c r="O2" s="14" t="s">
        <v>722</v>
      </c>
    </row>
    <row r="3" spans="1:15">
      <c r="A3" s="13" t="s">
        <v>723</v>
      </c>
      <c r="B3" s="13" t="s">
        <v>724</v>
      </c>
      <c r="C3" s="14" t="s">
        <v>725</v>
      </c>
      <c r="D3" s="13" t="s">
        <v>77</v>
      </c>
      <c r="E3" s="13" t="s">
        <v>726</v>
      </c>
      <c r="F3" s="13"/>
      <c r="G3" s="14" t="s">
        <v>727</v>
      </c>
      <c r="H3" s="15" t="s">
        <v>728</v>
      </c>
      <c r="I3" s="24" t="s">
        <v>717</v>
      </c>
      <c r="J3" s="13" t="s">
        <v>729</v>
      </c>
      <c r="K3" s="13" t="s">
        <v>411</v>
      </c>
      <c r="L3" s="25" t="s">
        <v>730</v>
      </c>
      <c r="M3" s="14" t="s">
        <v>720</v>
      </c>
      <c r="N3" s="13" t="s">
        <v>731</v>
      </c>
      <c r="O3" s="14" t="s">
        <v>722</v>
      </c>
    </row>
    <row r="4" spans="1:15">
      <c r="A4" s="13" t="s">
        <v>732</v>
      </c>
      <c r="B4" s="13" t="s">
        <v>733</v>
      </c>
      <c r="C4" s="14" t="s">
        <v>734</v>
      </c>
      <c r="D4" s="13" t="s">
        <v>77</v>
      </c>
      <c r="E4" s="13" t="s">
        <v>714</v>
      </c>
      <c r="F4" s="13"/>
      <c r="G4" s="14" t="s">
        <v>735</v>
      </c>
      <c r="H4" s="15" t="s">
        <v>736</v>
      </c>
      <c r="I4" s="24" t="s">
        <v>717</v>
      </c>
      <c r="J4" s="13" t="s">
        <v>737</v>
      </c>
      <c r="K4" s="13" t="s">
        <v>316</v>
      </c>
      <c r="L4" s="14" t="s">
        <v>719</v>
      </c>
      <c r="M4" s="14" t="s">
        <v>720</v>
      </c>
      <c r="N4" s="13" t="s">
        <v>738</v>
      </c>
      <c r="O4" s="14" t="s">
        <v>722</v>
      </c>
    </row>
    <row r="5" spans="1:15">
      <c r="A5" s="13" t="s">
        <v>739</v>
      </c>
      <c r="B5" s="13" t="s">
        <v>740</v>
      </c>
      <c r="C5" s="14" t="s">
        <v>741</v>
      </c>
      <c r="D5" s="13" t="s">
        <v>77</v>
      </c>
      <c r="E5" s="13" t="s">
        <v>713</v>
      </c>
      <c r="F5" s="13"/>
      <c r="G5" s="14" t="s">
        <v>742</v>
      </c>
      <c r="H5" s="15" t="s">
        <v>743</v>
      </c>
      <c r="I5" s="24" t="s">
        <v>717</v>
      </c>
      <c r="J5" s="13" t="s">
        <v>718</v>
      </c>
      <c r="K5" s="13" t="s">
        <v>316</v>
      </c>
      <c r="L5" s="14" t="s">
        <v>719</v>
      </c>
      <c r="M5" s="14" t="s">
        <v>744</v>
      </c>
      <c r="N5" s="14" t="s">
        <v>744</v>
      </c>
      <c r="O5" s="14" t="s">
        <v>722</v>
      </c>
    </row>
    <row r="6" spans="1:15">
      <c r="A6" s="13" t="s">
        <v>745</v>
      </c>
      <c r="B6" s="13" t="s">
        <v>746</v>
      </c>
      <c r="C6" s="14" t="s">
        <v>747</v>
      </c>
      <c r="D6" s="13" t="s">
        <v>77</v>
      </c>
      <c r="E6" s="13" t="s">
        <v>713</v>
      </c>
      <c r="F6" s="13" t="s">
        <v>714</v>
      </c>
      <c r="G6" s="14" t="s">
        <v>748</v>
      </c>
      <c r="H6" s="15" t="s">
        <v>749</v>
      </c>
      <c r="I6" s="24" t="s">
        <v>717</v>
      </c>
      <c r="J6" s="13" t="s">
        <v>750</v>
      </c>
      <c r="K6" s="13" t="s">
        <v>316</v>
      </c>
      <c r="L6" s="14" t="s">
        <v>719</v>
      </c>
      <c r="M6" s="14" t="s">
        <v>720</v>
      </c>
      <c r="N6" s="13" t="s">
        <v>738</v>
      </c>
      <c r="O6" s="14" t="s">
        <v>722</v>
      </c>
    </row>
    <row r="7" spans="1:15">
      <c r="A7" s="13" t="s">
        <v>751</v>
      </c>
      <c r="B7" s="13" t="s">
        <v>752</v>
      </c>
      <c r="C7" s="14" t="s">
        <v>753</v>
      </c>
      <c r="D7" s="13" t="s">
        <v>77</v>
      </c>
      <c r="E7" s="13" t="s">
        <v>726</v>
      </c>
      <c r="F7" s="13"/>
      <c r="G7" s="14" t="s">
        <v>754</v>
      </c>
      <c r="H7" s="15" t="s">
        <v>755</v>
      </c>
      <c r="I7" s="24" t="s">
        <v>717</v>
      </c>
      <c r="J7" s="13" t="s">
        <v>756</v>
      </c>
      <c r="K7" s="13" t="s">
        <v>341</v>
      </c>
      <c r="L7" s="25" t="s">
        <v>730</v>
      </c>
      <c r="M7" s="14" t="s">
        <v>720</v>
      </c>
      <c r="N7" s="13" t="s">
        <v>721</v>
      </c>
      <c r="O7" s="14" t="s">
        <v>722</v>
      </c>
    </row>
    <row r="8" spans="1:15" ht="24">
      <c r="A8" s="13" t="s">
        <v>757</v>
      </c>
      <c r="B8" s="13" t="s">
        <v>758</v>
      </c>
      <c r="C8" s="14" t="s">
        <v>759</v>
      </c>
      <c r="D8" s="13" t="s">
        <v>87</v>
      </c>
      <c r="E8" s="13" t="s">
        <v>760</v>
      </c>
      <c r="F8" s="13"/>
      <c r="G8" s="14" t="s">
        <v>761</v>
      </c>
      <c r="H8" s="15" t="s">
        <v>762</v>
      </c>
      <c r="I8" s="24" t="s">
        <v>717</v>
      </c>
      <c r="J8" s="13" t="s">
        <v>763</v>
      </c>
      <c r="K8" s="13" t="s">
        <v>316</v>
      </c>
      <c r="L8" s="14" t="s">
        <v>719</v>
      </c>
      <c r="M8" s="14" t="s">
        <v>720</v>
      </c>
      <c r="N8" s="13" t="s">
        <v>731</v>
      </c>
      <c r="O8" s="14" t="s">
        <v>722</v>
      </c>
    </row>
    <row r="9" spans="1:15">
      <c r="A9" s="13" t="s">
        <v>764</v>
      </c>
      <c r="B9" s="13" t="s">
        <v>765</v>
      </c>
      <c r="C9" s="14" t="s">
        <v>766</v>
      </c>
      <c r="D9" s="13" t="s">
        <v>87</v>
      </c>
      <c r="E9" s="13" t="s">
        <v>726</v>
      </c>
      <c r="F9" s="13"/>
      <c r="G9" s="14" t="s">
        <v>767</v>
      </c>
      <c r="H9" s="15" t="s">
        <v>768</v>
      </c>
      <c r="I9" s="24" t="s">
        <v>717</v>
      </c>
      <c r="J9" s="13" t="s">
        <v>769</v>
      </c>
      <c r="K9" s="13" t="s">
        <v>341</v>
      </c>
      <c r="L9" s="25" t="s">
        <v>730</v>
      </c>
      <c r="M9" s="14" t="s">
        <v>770</v>
      </c>
      <c r="N9" s="14" t="s">
        <v>771</v>
      </c>
      <c r="O9" s="14" t="s">
        <v>722</v>
      </c>
    </row>
    <row r="10" spans="1:15">
      <c r="A10" s="13" t="s">
        <v>772</v>
      </c>
      <c r="B10" s="13" t="s">
        <v>773</v>
      </c>
      <c r="C10" s="14" t="s">
        <v>92</v>
      </c>
      <c r="D10" s="13" t="s">
        <v>91</v>
      </c>
      <c r="E10" s="13" t="s">
        <v>726</v>
      </c>
      <c r="F10" s="13"/>
      <c r="G10" s="14" t="s">
        <v>774</v>
      </c>
      <c r="H10" s="15" t="s">
        <v>775</v>
      </c>
      <c r="I10" s="24" t="s">
        <v>717</v>
      </c>
      <c r="J10" s="13" t="s">
        <v>737</v>
      </c>
      <c r="K10" s="13" t="s">
        <v>316</v>
      </c>
      <c r="L10" s="14" t="s">
        <v>719</v>
      </c>
      <c r="M10" s="14" t="s">
        <v>720</v>
      </c>
      <c r="N10" s="13" t="s">
        <v>721</v>
      </c>
      <c r="O10" s="14" t="s">
        <v>722</v>
      </c>
    </row>
    <row r="11" spans="1:15">
      <c r="A11" s="13" t="s">
        <v>776</v>
      </c>
      <c r="B11" s="13" t="s">
        <v>777</v>
      </c>
      <c r="C11" s="14" t="s">
        <v>778</v>
      </c>
      <c r="D11" s="13" t="s">
        <v>91</v>
      </c>
      <c r="E11" s="13" t="s">
        <v>714</v>
      </c>
      <c r="F11" s="13"/>
      <c r="G11" s="14" t="s">
        <v>779</v>
      </c>
      <c r="H11" s="15" t="s">
        <v>780</v>
      </c>
      <c r="I11" s="24" t="s">
        <v>717</v>
      </c>
      <c r="J11" s="13" t="s">
        <v>718</v>
      </c>
      <c r="K11" s="13" t="s">
        <v>316</v>
      </c>
      <c r="L11" s="14" t="s">
        <v>719</v>
      </c>
      <c r="M11" s="14" t="s">
        <v>720</v>
      </c>
      <c r="N11" s="13" t="s">
        <v>738</v>
      </c>
      <c r="O11" s="14" t="s">
        <v>722</v>
      </c>
    </row>
    <row r="12" spans="1:15">
      <c r="A12" s="13" t="s">
        <v>781</v>
      </c>
      <c r="B12" s="13" t="s">
        <v>782</v>
      </c>
      <c r="C12" s="14" t="s">
        <v>783</v>
      </c>
      <c r="D12" s="13" t="s">
        <v>156</v>
      </c>
      <c r="E12" s="13" t="s">
        <v>760</v>
      </c>
      <c r="F12" s="13"/>
      <c r="G12" s="14" t="s">
        <v>784</v>
      </c>
      <c r="H12" s="15" t="s">
        <v>785</v>
      </c>
      <c r="I12" s="24" t="s">
        <v>717</v>
      </c>
      <c r="J12" s="13" t="s">
        <v>786</v>
      </c>
      <c r="K12" s="13" t="s">
        <v>316</v>
      </c>
      <c r="L12" s="14" t="s">
        <v>719</v>
      </c>
      <c r="M12" s="14" t="s">
        <v>720</v>
      </c>
      <c r="N12" s="13" t="s">
        <v>731</v>
      </c>
      <c r="O12" s="14" t="s">
        <v>722</v>
      </c>
    </row>
    <row r="13" spans="1:15">
      <c r="A13" s="13" t="s">
        <v>787</v>
      </c>
      <c r="B13" s="13" t="s">
        <v>788</v>
      </c>
      <c r="C13" s="14" t="s">
        <v>789</v>
      </c>
      <c r="D13" s="13" t="s">
        <v>156</v>
      </c>
      <c r="E13" s="13" t="s">
        <v>790</v>
      </c>
      <c r="F13" s="13"/>
      <c r="G13" s="14" t="s">
        <v>791</v>
      </c>
      <c r="H13" s="15" t="s">
        <v>792</v>
      </c>
      <c r="I13" s="24" t="s">
        <v>717</v>
      </c>
      <c r="J13" s="13" t="s">
        <v>763</v>
      </c>
      <c r="K13" s="13" t="s">
        <v>316</v>
      </c>
      <c r="L13" s="14" t="s">
        <v>719</v>
      </c>
      <c r="M13" s="14" t="s">
        <v>720</v>
      </c>
      <c r="N13" s="13" t="s">
        <v>721</v>
      </c>
      <c r="O13" s="14" t="s">
        <v>722</v>
      </c>
    </row>
    <row r="14" spans="1:15">
      <c r="A14" s="13" t="s">
        <v>793</v>
      </c>
      <c r="B14" s="13" t="s">
        <v>794</v>
      </c>
      <c r="C14" s="14" t="s">
        <v>795</v>
      </c>
      <c r="D14" s="13" t="s">
        <v>163</v>
      </c>
      <c r="E14" s="13" t="s">
        <v>726</v>
      </c>
      <c r="F14" s="13" t="s">
        <v>760</v>
      </c>
      <c r="G14" s="14" t="s">
        <v>796</v>
      </c>
      <c r="H14" s="15" t="s">
        <v>797</v>
      </c>
      <c r="I14" s="24" t="s">
        <v>717</v>
      </c>
      <c r="J14" s="13" t="s">
        <v>798</v>
      </c>
      <c r="K14" s="13" t="s">
        <v>411</v>
      </c>
      <c r="L14" s="25" t="s">
        <v>730</v>
      </c>
      <c r="M14" s="14" t="s">
        <v>720</v>
      </c>
      <c r="N14" s="13" t="s">
        <v>731</v>
      </c>
      <c r="O14" s="14" t="s">
        <v>722</v>
      </c>
    </row>
    <row r="15" spans="1:15" ht="24">
      <c r="A15" s="13" t="s">
        <v>799</v>
      </c>
      <c r="B15" s="13" t="s">
        <v>800</v>
      </c>
      <c r="C15" s="14" t="s">
        <v>801</v>
      </c>
      <c r="D15" s="13" t="s">
        <v>100</v>
      </c>
      <c r="E15" s="13" t="s">
        <v>790</v>
      </c>
      <c r="F15" s="13" t="s">
        <v>760</v>
      </c>
      <c r="G15" s="14" t="s">
        <v>802</v>
      </c>
      <c r="H15" s="15" t="s">
        <v>803</v>
      </c>
      <c r="I15" s="24" t="s">
        <v>717</v>
      </c>
      <c r="J15" s="13" t="s">
        <v>786</v>
      </c>
      <c r="K15" s="13" t="s">
        <v>411</v>
      </c>
      <c r="L15" s="25" t="s">
        <v>730</v>
      </c>
      <c r="M15" s="14" t="s">
        <v>720</v>
      </c>
      <c r="N15" s="13" t="s">
        <v>721</v>
      </c>
      <c r="O15" s="14" t="s">
        <v>722</v>
      </c>
    </row>
    <row r="16" spans="1:15" ht="36">
      <c r="A16" s="13" t="s">
        <v>804</v>
      </c>
      <c r="B16" s="13" t="s">
        <v>805</v>
      </c>
      <c r="C16" s="14" t="s">
        <v>806</v>
      </c>
      <c r="D16" s="13" t="s">
        <v>141</v>
      </c>
      <c r="E16" s="13" t="s">
        <v>790</v>
      </c>
      <c r="F16" s="13" t="s">
        <v>714</v>
      </c>
      <c r="G16" s="14" t="s">
        <v>807</v>
      </c>
      <c r="H16" s="15" t="s">
        <v>808</v>
      </c>
      <c r="I16" s="15" t="s">
        <v>809</v>
      </c>
      <c r="J16" s="13" t="s">
        <v>810</v>
      </c>
      <c r="K16" s="13" t="s">
        <v>341</v>
      </c>
      <c r="L16" s="25" t="s">
        <v>730</v>
      </c>
      <c r="M16" s="14" t="s">
        <v>770</v>
      </c>
      <c r="N16" s="14" t="s">
        <v>811</v>
      </c>
      <c r="O16" s="14" t="s">
        <v>722</v>
      </c>
    </row>
  </sheetData>
  <autoFilter ref="A1:O16" xr:uid="{00000000-0009-0000-0000-000006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2" customWidth="1"/>
    <col min="2" max="2" width="20" customWidth="1"/>
    <col min="3" max="3" width="50" customWidth="1"/>
    <col min="4" max="4" width="16" customWidth="1"/>
  </cols>
  <sheetData>
    <row r="1" spans="1:4" ht="30" customHeight="1">
      <c r="A1" s="12" t="s">
        <v>812</v>
      </c>
      <c r="B1" s="12" t="s">
        <v>813</v>
      </c>
      <c r="C1" s="12" t="s">
        <v>814</v>
      </c>
      <c r="D1" s="12" t="s">
        <v>815</v>
      </c>
    </row>
    <row r="2" spans="1:4">
      <c r="A2" s="13" t="s">
        <v>816</v>
      </c>
      <c r="B2" s="13" t="s">
        <v>713</v>
      </c>
      <c r="C2" s="14" t="s">
        <v>817</v>
      </c>
      <c r="D2" s="14" t="s">
        <v>818</v>
      </c>
    </row>
    <row r="3" spans="1:4">
      <c r="A3" s="13" t="s">
        <v>816</v>
      </c>
      <c r="B3" s="13" t="s">
        <v>760</v>
      </c>
      <c r="C3" s="14" t="s">
        <v>819</v>
      </c>
      <c r="D3" s="14" t="s">
        <v>818</v>
      </c>
    </row>
    <row r="4" spans="1:4">
      <c r="A4" s="13" t="s">
        <v>816</v>
      </c>
      <c r="B4" s="13" t="s">
        <v>714</v>
      </c>
      <c r="C4" s="14" t="s">
        <v>820</v>
      </c>
      <c r="D4" s="14" t="s">
        <v>818</v>
      </c>
    </row>
    <row r="5" spans="1:4">
      <c r="A5" s="13" t="s">
        <v>816</v>
      </c>
      <c r="B5" s="13" t="s">
        <v>726</v>
      </c>
      <c r="C5" s="14" t="s">
        <v>821</v>
      </c>
      <c r="D5" s="14" t="s">
        <v>818</v>
      </c>
    </row>
    <row r="6" spans="1:4">
      <c r="A6" s="13" t="s">
        <v>816</v>
      </c>
      <c r="B6" s="13" t="s">
        <v>790</v>
      </c>
      <c r="C6" s="14" t="s">
        <v>822</v>
      </c>
      <c r="D6" s="14" t="s">
        <v>818</v>
      </c>
    </row>
    <row r="7" spans="1:4">
      <c r="A7" s="13" t="s">
        <v>823</v>
      </c>
      <c r="B7" s="14" t="s">
        <v>824</v>
      </c>
      <c r="C7" s="14" t="s">
        <v>825</v>
      </c>
      <c r="D7" s="14" t="s">
        <v>818</v>
      </c>
    </row>
    <row r="8" spans="1:4">
      <c r="A8" s="13" t="s">
        <v>823</v>
      </c>
      <c r="B8" s="14" t="s">
        <v>727</v>
      </c>
      <c r="C8" s="14" t="s">
        <v>825</v>
      </c>
      <c r="D8" s="14" t="s">
        <v>818</v>
      </c>
    </row>
    <row r="9" spans="1:4">
      <c r="A9" s="13" t="s">
        <v>823</v>
      </c>
      <c r="B9" s="13" t="s">
        <v>826</v>
      </c>
      <c r="C9" s="14" t="s">
        <v>825</v>
      </c>
      <c r="D9" s="14" t="s">
        <v>818</v>
      </c>
    </row>
    <row r="10" spans="1:4">
      <c r="A10" s="13" t="s">
        <v>823</v>
      </c>
      <c r="B10" s="14" t="s">
        <v>761</v>
      </c>
      <c r="C10" s="14" t="s">
        <v>825</v>
      </c>
      <c r="D10" s="14" t="s">
        <v>818</v>
      </c>
    </row>
    <row r="11" spans="1:4">
      <c r="A11" s="13" t="s">
        <v>823</v>
      </c>
      <c r="B11" s="14" t="s">
        <v>827</v>
      </c>
      <c r="C11" s="14" t="s">
        <v>825</v>
      </c>
      <c r="D11" s="14" t="s">
        <v>818</v>
      </c>
    </row>
    <row r="12" spans="1:4">
      <c r="A12" s="13" t="s">
        <v>823</v>
      </c>
      <c r="B12" s="14" t="s">
        <v>796</v>
      </c>
      <c r="C12" s="14" t="s">
        <v>825</v>
      </c>
      <c r="D12" s="14" t="s">
        <v>818</v>
      </c>
    </row>
    <row r="13" spans="1:4">
      <c r="A13" s="13" t="s">
        <v>823</v>
      </c>
      <c r="B13" s="14" t="s">
        <v>802</v>
      </c>
      <c r="C13" s="14" t="s">
        <v>825</v>
      </c>
      <c r="D13" s="14" t="s">
        <v>818</v>
      </c>
    </row>
    <row r="14" spans="1:4">
      <c r="A14" s="13" t="s">
        <v>823</v>
      </c>
      <c r="B14" s="14" t="s">
        <v>828</v>
      </c>
      <c r="C14" s="14" t="s">
        <v>825</v>
      </c>
      <c r="D14" s="14" t="s">
        <v>818</v>
      </c>
    </row>
    <row r="15" spans="1:4">
      <c r="A15" s="13" t="s">
        <v>823</v>
      </c>
      <c r="B15" s="14" t="s">
        <v>742</v>
      </c>
      <c r="C15" s="14" t="s">
        <v>825</v>
      </c>
      <c r="D15" s="14" t="s">
        <v>818</v>
      </c>
    </row>
    <row r="16" spans="1:4">
      <c r="A16" s="13" t="s">
        <v>823</v>
      </c>
      <c r="B16" s="14" t="s">
        <v>767</v>
      </c>
      <c r="C16" s="14" t="s">
        <v>825</v>
      </c>
      <c r="D16" s="14" t="s">
        <v>818</v>
      </c>
    </row>
    <row r="17" spans="1:4">
      <c r="A17" s="13" t="s">
        <v>823</v>
      </c>
      <c r="B17" s="14" t="s">
        <v>774</v>
      </c>
      <c r="C17" s="14" t="s">
        <v>825</v>
      </c>
      <c r="D17" s="14" t="s">
        <v>818</v>
      </c>
    </row>
    <row r="18" spans="1:4">
      <c r="A18" s="13" t="s">
        <v>823</v>
      </c>
      <c r="B18" s="14" t="s">
        <v>748</v>
      </c>
      <c r="C18" s="14" t="s">
        <v>825</v>
      </c>
      <c r="D18" s="14" t="s">
        <v>818</v>
      </c>
    </row>
    <row r="19" spans="1:4">
      <c r="A19" s="13" t="s">
        <v>829</v>
      </c>
      <c r="B19" s="13" t="s">
        <v>718</v>
      </c>
      <c r="C19" s="14" t="s">
        <v>830</v>
      </c>
      <c r="D19" s="14" t="s">
        <v>831</v>
      </c>
    </row>
    <row r="20" spans="1:4">
      <c r="A20" s="13" t="s">
        <v>829</v>
      </c>
      <c r="B20" s="13" t="s">
        <v>832</v>
      </c>
      <c r="C20" s="14" t="s">
        <v>833</v>
      </c>
      <c r="D20" s="14" t="s">
        <v>831</v>
      </c>
    </row>
    <row r="21" spans="1:4">
      <c r="A21" s="13" t="s">
        <v>829</v>
      </c>
      <c r="B21" s="13" t="s">
        <v>834</v>
      </c>
      <c r="C21" s="14" t="s">
        <v>835</v>
      </c>
      <c r="D21" s="14" t="s">
        <v>831</v>
      </c>
    </row>
    <row r="22" spans="1:4">
      <c r="A22" s="13" t="s">
        <v>829</v>
      </c>
      <c r="B22" s="13" t="s">
        <v>763</v>
      </c>
      <c r="C22" s="14" t="s">
        <v>836</v>
      </c>
      <c r="D22" s="14" t="s">
        <v>831</v>
      </c>
    </row>
    <row r="23" spans="1:4">
      <c r="A23" s="13" t="s">
        <v>829</v>
      </c>
      <c r="B23" s="13" t="s">
        <v>837</v>
      </c>
      <c r="C23" s="14" t="s">
        <v>838</v>
      </c>
      <c r="D23" s="14" t="s">
        <v>831</v>
      </c>
    </row>
    <row r="24" spans="1:4">
      <c r="A24" s="13" t="s">
        <v>829</v>
      </c>
      <c r="B24" s="13" t="s">
        <v>839</v>
      </c>
      <c r="C24" s="14" t="s">
        <v>840</v>
      </c>
      <c r="D24" s="14" t="s">
        <v>831</v>
      </c>
    </row>
    <row r="25" spans="1:4">
      <c r="A25" s="13" t="s">
        <v>841</v>
      </c>
      <c r="B25" s="13" t="s">
        <v>316</v>
      </c>
      <c r="C25" s="14" t="s">
        <v>842</v>
      </c>
      <c r="D25" s="14" t="s">
        <v>843</v>
      </c>
    </row>
    <row r="26" spans="1:4">
      <c r="A26" s="13" t="s">
        <v>841</v>
      </c>
      <c r="B26" s="13" t="s">
        <v>341</v>
      </c>
      <c r="C26" s="14" t="s">
        <v>844</v>
      </c>
      <c r="D26" s="14" t="s">
        <v>843</v>
      </c>
    </row>
    <row r="27" spans="1:4">
      <c r="A27" s="13" t="s">
        <v>841</v>
      </c>
      <c r="B27" s="13" t="s">
        <v>411</v>
      </c>
      <c r="C27" s="14" t="s">
        <v>845</v>
      </c>
      <c r="D27" s="14" t="s">
        <v>843</v>
      </c>
    </row>
    <row r="28" spans="1:4">
      <c r="A28" s="13" t="s">
        <v>841</v>
      </c>
      <c r="B28" s="13" t="s">
        <v>454</v>
      </c>
      <c r="C28" s="14" t="s">
        <v>846</v>
      </c>
      <c r="D28" s="14" t="s">
        <v>843</v>
      </c>
    </row>
    <row r="29" spans="1:4">
      <c r="A29" s="13" t="s">
        <v>847</v>
      </c>
      <c r="B29" s="14" t="s">
        <v>848</v>
      </c>
      <c r="C29" s="14" t="s">
        <v>849</v>
      </c>
      <c r="D29" s="14" t="s">
        <v>850</v>
      </c>
    </row>
    <row r="30" spans="1:4">
      <c r="A30" s="13" t="s">
        <v>847</v>
      </c>
      <c r="B30" s="14" t="s">
        <v>851</v>
      </c>
      <c r="C30" s="14" t="s">
        <v>852</v>
      </c>
      <c r="D30" s="14" t="s">
        <v>850</v>
      </c>
    </row>
    <row r="31" spans="1:4">
      <c r="A31" s="13" t="s">
        <v>847</v>
      </c>
      <c r="B31" s="14" t="s">
        <v>853</v>
      </c>
      <c r="C31" s="13" t="s">
        <v>854</v>
      </c>
      <c r="D31" s="14" t="s">
        <v>850</v>
      </c>
    </row>
    <row r="32" spans="1:4">
      <c r="A32" s="13" t="s">
        <v>847</v>
      </c>
      <c r="B32" s="14" t="s">
        <v>855</v>
      </c>
      <c r="C32" s="14" t="s">
        <v>856</v>
      </c>
      <c r="D32" s="14" t="s">
        <v>850</v>
      </c>
    </row>
    <row r="33" spans="1:4">
      <c r="A33" s="13" t="s">
        <v>847</v>
      </c>
      <c r="B33" s="14" t="s">
        <v>857</v>
      </c>
      <c r="C33" s="13" t="s">
        <v>858</v>
      </c>
      <c r="D33" s="14" t="s">
        <v>850</v>
      </c>
    </row>
    <row r="34" spans="1:4">
      <c r="A34" s="13" t="s">
        <v>847</v>
      </c>
      <c r="B34" s="14" t="s">
        <v>859</v>
      </c>
      <c r="C34" s="14" t="s">
        <v>860</v>
      </c>
      <c r="D34" s="14" t="s">
        <v>850</v>
      </c>
    </row>
    <row r="35" spans="1:4">
      <c r="A35" s="13" t="s">
        <v>861</v>
      </c>
      <c r="B35" s="14" t="s">
        <v>862</v>
      </c>
      <c r="C35" s="14" t="s">
        <v>863</v>
      </c>
      <c r="D35" s="14" t="s">
        <v>850</v>
      </c>
    </row>
    <row r="36" spans="1:4">
      <c r="A36" s="13" t="s">
        <v>861</v>
      </c>
      <c r="B36" s="14" t="s">
        <v>864</v>
      </c>
      <c r="C36" s="14" t="s">
        <v>863</v>
      </c>
      <c r="D36" s="14" t="s">
        <v>850</v>
      </c>
    </row>
    <row r="37" spans="1:4">
      <c r="A37" s="13" t="s">
        <v>861</v>
      </c>
      <c r="B37" s="14" t="s">
        <v>865</v>
      </c>
      <c r="C37" s="14" t="s">
        <v>863</v>
      </c>
      <c r="D37" s="14" t="s">
        <v>850</v>
      </c>
    </row>
    <row r="38" spans="1:4">
      <c r="A38" s="13" t="s">
        <v>861</v>
      </c>
      <c r="B38" s="14" t="s">
        <v>802</v>
      </c>
      <c r="C38" s="14" t="s">
        <v>863</v>
      </c>
      <c r="D38" s="14" t="s">
        <v>850</v>
      </c>
    </row>
    <row r="39" spans="1:4">
      <c r="A39" s="13" t="s">
        <v>861</v>
      </c>
      <c r="B39" s="14" t="s">
        <v>866</v>
      </c>
      <c r="C39" s="14" t="s">
        <v>863</v>
      </c>
      <c r="D39" s="14" t="s">
        <v>850</v>
      </c>
    </row>
    <row r="40" spans="1:4">
      <c r="A40" s="13" t="s">
        <v>861</v>
      </c>
      <c r="B40" s="14" t="s">
        <v>867</v>
      </c>
      <c r="C40" s="14" t="s">
        <v>863</v>
      </c>
      <c r="D40" s="14" t="s">
        <v>850</v>
      </c>
    </row>
    <row r="41" spans="1:4">
      <c r="A41" s="13" t="s">
        <v>868</v>
      </c>
      <c r="B41" s="14" t="s">
        <v>202</v>
      </c>
      <c r="C41" s="14" t="s">
        <v>869</v>
      </c>
      <c r="D41" s="14" t="s">
        <v>308</v>
      </c>
    </row>
    <row r="42" spans="1:4">
      <c r="A42" s="13" t="s">
        <v>868</v>
      </c>
      <c r="B42" s="14" t="s">
        <v>193</v>
      </c>
      <c r="C42" s="14" t="s">
        <v>870</v>
      </c>
      <c r="D42" s="14" t="s">
        <v>308</v>
      </c>
    </row>
    <row r="43" spans="1:4">
      <c r="A43" s="13" t="s">
        <v>868</v>
      </c>
      <c r="B43" s="14" t="s">
        <v>190</v>
      </c>
      <c r="C43" s="14" t="s">
        <v>871</v>
      </c>
      <c r="D43" s="14" t="s">
        <v>308</v>
      </c>
    </row>
    <row r="44" spans="1:4">
      <c r="A44" s="13" t="s">
        <v>872</v>
      </c>
      <c r="B44" s="14" t="s">
        <v>722</v>
      </c>
      <c r="C44" s="14" t="s">
        <v>873</v>
      </c>
      <c r="D44" s="14" t="s">
        <v>818</v>
      </c>
    </row>
    <row r="45" spans="1:4">
      <c r="A45" s="13" t="s">
        <v>872</v>
      </c>
      <c r="B45" s="14" t="s">
        <v>874</v>
      </c>
      <c r="C45" s="14" t="s">
        <v>875</v>
      </c>
      <c r="D45" s="14" t="s">
        <v>818</v>
      </c>
    </row>
    <row r="46" spans="1:4">
      <c r="A46" s="13" t="s">
        <v>872</v>
      </c>
      <c r="B46" s="14" t="s">
        <v>876</v>
      </c>
      <c r="C46" s="14" t="s">
        <v>877</v>
      </c>
      <c r="D46" s="14" t="s">
        <v>818</v>
      </c>
    </row>
    <row r="47" spans="1:4">
      <c r="A47" s="13" t="s">
        <v>872</v>
      </c>
      <c r="B47" s="14" t="s">
        <v>878</v>
      </c>
      <c r="C47" s="14" t="s">
        <v>879</v>
      </c>
      <c r="D47" s="14" t="s">
        <v>818</v>
      </c>
    </row>
    <row r="48" spans="1:4">
      <c r="A48" s="13" t="s">
        <v>872</v>
      </c>
      <c r="B48" s="14" t="s">
        <v>880</v>
      </c>
      <c r="C48" s="14" t="s">
        <v>881</v>
      </c>
      <c r="D48" s="14" t="s">
        <v>818</v>
      </c>
    </row>
  </sheetData>
  <autoFilter ref="A1:D48" xr:uid="{00000000-0009-0000-0000-000007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0" customWidth="1"/>
    <col min="2" max="2" width="44" customWidth="1"/>
    <col min="3" max="3" width="40" customWidth="1"/>
    <col min="4" max="4" width="16" customWidth="1"/>
    <col min="5" max="5" width="10" customWidth="1"/>
    <col min="6" max="6" width="20" customWidth="1"/>
  </cols>
  <sheetData>
    <row r="1" spans="1:6" ht="30" customHeight="1">
      <c r="A1" s="12" t="s">
        <v>481</v>
      </c>
      <c r="B1" s="12" t="s">
        <v>882</v>
      </c>
      <c r="C1" s="12" t="s">
        <v>883</v>
      </c>
      <c r="D1" s="12" t="s">
        <v>884</v>
      </c>
      <c r="E1" s="12" t="s">
        <v>885</v>
      </c>
      <c r="F1" s="12" t="s">
        <v>886</v>
      </c>
    </row>
    <row r="2" spans="1:6" ht="24">
      <c r="A2" s="13" t="s">
        <v>316</v>
      </c>
      <c r="B2" s="15" t="s">
        <v>887</v>
      </c>
      <c r="C2" s="15" t="s">
        <v>486</v>
      </c>
      <c r="D2" s="14" t="s">
        <v>99</v>
      </c>
      <c r="E2" s="14" t="s">
        <v>888</v>
      </c>
      <c r="F2" s="14" t="s">
        <v>889</v>
      </c>
    </row>
    <row r="3" spans="1:6" ht="24">
      <c r="A3" s="13" t="s">
        <v>341</v>
      </c>
      <c r="B3" s="15" t="s">
        <v>890</v>
      </c>
      <c r="C3" s="15" t="s">
        <v>891</v>
      </c>
      <c r="D3" s="14" t="s">
        <v>892</v>
      </c>
      <c r="E3" s="14" t="s">
        <v>893</v>
      </c>
      <c r="F3" s="14" t="s">
        <v>894</v>
      </c>
    </row>
    <row r="4" spans="1:6" ht="24">
      <c r="A4" s="13" t="s">
        <v>411</v>
      </c>
      <c r="B4" s="15" t="s">
        <v>895</v>
      </c>
      <c r="C4" s="15" t="s">
        <v>896</v>
      </c>
      <c r="D4" s="14" t="s">
        <v>897</v>
      </c>
      <c r="E4" s="14" t="s">
        <v>893</v>
      </c>
      <c r="F4" s="14" t="s">
        <v>898</v>
      </c>
    </row>
    <row r="5" spans="1:6">
      <c r="A5" s="13" t="s">
        <v>454</v>
      </c>
      <c r="B5" s="15" t="s">
        <v>899</v>
      </c>
      <c r="C5" s="15" t="s">
        <v>900</v>
      </c>
      <c r="D5" s="14" t="s">
        <v>901</v>
      </c>
      <c r="E5" s="14" t="s">
        <v>893</v>
      </c>
      <c r="F5" s="14" t="s">
        <v>902</v>
      </c>
    </row>
  </sheetData>
  <autoFilter ref="A1:F5" xr:uid="{00000000-0009-0000-0000-000008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9" customWidth="1"/>
    <col min="2" max="2" width="8" customWidth="1"/>
    <col min="3" max="3" width="18" customWidth="1"/>
    <col min="4" max="4" width="88" customWidth="1"/>
    <col min="5" max="5" width="18" customWidth="1"/>
  </cols>
  <sheetData>
    <row r="1" spans="1:5" ht="30" customHeight="1">
      <c r="A1" s="12" t="s">
        <v>903</v>
      </c>
      <c r="B1" s="12" t="s">
        <v>904</v>
      </c>
      <c r="C1" s="12" t="s">
        <v>905</v>
      </c>
      <c r="D1" s="12" t="s">
        <v>6</v>
      </c>
      <c r="E1" s="12" t="s">
        <v>906</v>
      </c>
    </row>
    <row r="2" spans="1:5">
      <c r="A2" s="13" t="s">
        <v>907</v>
      </c>
      <c r="B2" s="14" t="s">
        <v>818</v>
      </c>
      <c r="C2" s="14" t="s">
        <v>908</v>
      </c>
      <c r="D2" s="26" t="s">
        <v>909</v>
      </c>
      <c r="E2" s="14" t="s">
        <v>910</v>
      </c>
    </row>
    <row r="3" spans="1:5">
      <c r="A3" s="13" t="s">
        <v>911</v>
      </c>
      <c r="B3" s="14" t="s">
        <v>818</v>
      </c>
      <c r="C3" s="14" t="s">
        <v>912</v>
      </c>
      <c r="D3" s="15" t="s">
        <v>913</v>
      </c>
      <c r="E3" s="14" t="s">
        <v>910</v>
      </c>
    </row>
    <row r="4" spans="1:5">
      <c r="A4" s="13" t="s">
        <v>914</v>
      </c>
      <c r="B4" s="14" t="s">
        <v>818</v>
      </c>
      <c r="C4" s="14" t="s">
        <v>915</v>
      </c>
      <c r="D4" s="15" t="s">
        <v>916</v>
      </c>
      <c r="E4" s="14" t="s">
        <v>917</v>
      </c>
    </row>
    <row r="5" spans="1:5">
      <c r="A5" s="13" t="s">
        <v>918</v>
      </c>
      <c r="B5" s="14" t="s">
        <v>818</v>
      </c>
      <c r="C5" s="14" t="s">
        <v>919</v>
      </c>
      <c r="D5" s="15" t="s">
        <v>920</v>
      </c>
      <c r="E5" s="14" t="s">
        <v>921</v>
      </c>
    </row>
    <row r="6" spans="1:5">
      <c r="A6" s="13" t="s">
        <v>922</v>
      </c>
      <c r="B6" s="14" t="s">
        <v>818</v>
      </c>
      <c r="C6" s="14" t="s">
        <v>923</v>
      </c>
      <c r="D6" s="15" t="s">
        <v>924</v>
      </c>
      <c r="E6" s="14" t="s">
        <v>910</v>
      </c>
    </row>
    <row r="7" spans="1:5">
      <c r="A7" s="13" t="s">
        <v>925</v>
      </c>
      <c r="B7" s="14" t="s">
        <v>818</v>
      </c>
      <c r="C7" s="14" t="s">
        <v>926</v>
      </c>
      <c r="D7" s="15" t="s">
        <v>927</v>
      </c>
      <c r="E7" s="14" t="s">
        <v>910</v>
      </c>
    </row>
    <row r="8" spans="1:5">
      <c r="A8" s="13" t="s">
        <v>928</v>
      </c>
      <c r="B8" s="14" t="s">
        <v>818</v>
      </c>
      <c r="C8" s="14" t="s">
        <v>929</v>
      </c>
      <c r="D8" s="15" t="s">
        <v>930</v>
      </c>
      <c r="E8" s="14" t="s">
        <v>931</v>
      </c>
    </row>
    <row r="9" spans="1:5">
      <c r="A9" s="13" t="s">
        <v>932</v>
      </c>
      <c r="B9" s="14" t="s">
        <v>818</v>
      </c>
      <c r="C9" s="14" t="s">
        <v>933</v>
      </c>
      <c r="D9" s="15" t="s">
        <v>934</v>
      </c>
      <c r="E9" s="14" t="s">
        <v>935</v>
      </c>
    </row>
    <row r="10" spans="1:5">
      <c r="A10" s="13" t="s">
        <v>936</v>
      </c>
      <c r="B10" s="14" t="s">
        <v>818</v>
      </c>
      <c r="C10" s="14" t="s">
        <v>937</v>
      </c>
      <c r="D10" s="15" t="s">
        <v>938</v>
      </c>
      <c r="E10" s="14" t="s">
        <v>939</v>
      </c>
    </row>
    <row r="11" spans="1:5">
      <c r="A11" s="13" t="s">
        <v>940</v>
      </c>
      <c r="B11" s="14" t="s">
        <v>818</v>
      </c>
      <c r="C11" s="14" t="s">
        <v>941</v>
      </c>
      <c r="D11" s="15" t="s">
        <v>942</v>
      </c>
      <c r="E11" s="14" t="s">
        <v>943</v>
      </c>
    </row>
    <row r="12" spans="1:5" ht="36">
      <c r="A12" s="13" t="s">
        <v>944</v>
      </c>
      <c r="B12" s="14" t="s">
        <v>67</v>
      </c>
      <c r="C12" s="14" t="s">
        <v>945</v>
      </c>
      <c r="D12" s="15" t="s">
        <v>946</v>
      </c>
      <c r="E12" s="14" t="s">
        <v>947</v>
      </c>
    </row>
    <row r="13" spans="1:5">
      <c r="A13" s="13" t="s">
        <v>948</v>
      </c>
      <c r="B13" s="14" t="s">
        <v>67</v>
      </c>
      <c r="C13" s="14" t="s">
        <v>949</v>
      </c>
      <c r="D13" s="26" t="s">
        <v>950</v>
      </c>
      <c r="E13" s="14" t="s">
        <v>951</v>
      </c>
    </row>
    <row r="14" spans="1:5">
      <c r="A14" s="13" t="s">
        <v>952</v>
      </c>
      <c r="B14" s="14" t="s">
        <v>67</v>
      </c>
      <c r="C14" s="14" t="s">
        <v>953</v>
      </c>
      <c r="D14" s="26" t="s">
        <v>954</v>
      </c>
      <c r="E14" s="14" t="s">
        <v>955</v>
      </c>
    </row>
    <row r="15" spans="1:5">
      <c r="A15" s="13" t="s">
        <v>956</v>
      </c>
      <c r="B15" s="14" t="s">
        <v>67</v>
      </c>
      <c r="C15" s="14" t="s">
        <v>957</v>
      </c>
      <c r="D15" s="15" t="s">
        <v>958</v>
      </c>
      <c r="E15" s="14" t="s">
        <v>99</v>
      </c>
    </row>
    <row r="16" spans="1:5">
      <c r="A16" s="13" t="s">
        <v>959</v>
      </c>
      <c r="B16" s="14" t="s">
        <v>67</v>
      </c>
      <c r="C16" s="14" t="s">
        <v>960</v>
      </c>
      <c r="D16" s="15" t="s">
        <v>961</v>
      </c>
      <c r="E16" s="14" t="s">
        <v>921</v>
      </c>
    </row>
    <row r="17" spans="1:5">
      <c r="A17" s="13" t="s">
        <v>962</v>
      </c>
      <c r="B17" s="14" t="s">
        <v>963</v>
      </c>
      <c r="C17" s="14" t="s">
        <v>964</v>
      </c>
      <c r="D17" s="15" t="s">
        <v>965</v>
      </c>
      <c r="E17" s="14" t="s">
        <v>966</v>
      </c>
    </row>
    <row r="18" spans="1:5">
      <c r="A18" s="13" t="s">
        <v>967</v>
      </c>
      <c r="B18" s="14" t="s">
        <v>963</v>
      </c>
      <c r="C18" s="14" t="s">
        <v>968</v>
      </c>
      <c r="D18" s="15" t="s">
        <v>969</v>
      </c>
      <c r="E18" s="14" t="s">
        <v>966</v>
      </c>
    </row>
    <row r="19" spans="1:5">
      <c r="A19" s="13" t="s">
        <v>970</v>
      </c>
      <c r="B19" s="14" t="s">
        <v>963</v>
      </c>
      <c r="C19" s="14" t="s">
        <v>971</v>
      </c>
      <c r="D19" s="26" t="s">
        <v>972</v>
      </c>
      <c r="E19" s="14" t="s">
        <v>921</v>
      </c>
    </row>
    <row r="20" spans="1:5">
      <c r="A20" s="13" t="s">
        <v>973</v>
      </c>
      <c r="B20" s="14" t="s">
        <v>963</v>
      </c>
      <c r="C20" s="14" t="s">
        <v>974</v>
      </c>
      <c r="D20" s="15" t="s">
        <v>975</v>
      </c>
      <c r="E20" s="14" t="s">
        <v>976</v>
      </c>
    </row>
    <row r="21" spans="1:5">
      <c r="A21" s="13" t="s">
        <v>977</v>
      </c>
      <c r="B21" s="14" t="s">
        <v>963</v>
      </c>
      <c r="C21" s="14" t="s">
        <v>978</v>
      </c>
      <c r="D21" s="15" t="s">
        <v>979</v>
      </c>
      <c r="E21" s="14" t="s">
        <v>980</v>
      </c>
    </row>
    <row r="22" spans="1:5">
      <c r="A22" s="13" t="s">
        <v>981</v>
      </c>
      <c r="B22" s="14" t="s">
        <v>963</v>
      </c>
      <c r="C22" s="14" t="s">
        <v>982</v>
      </c>
      <c r="D22" s="26" t="s">
        <v>983</v>
      </c>
      <c r="E22" s="14" t="s">
        <v>984</v>
      </c>
    </row>
    <row r="23" spans="1:5">
      <c r="A23" s="13" t="s">
        <v>985</v>
      </c>
      <c r="B23" s="14" t="s">
        <v>963</v>
      </c>
      <c r="C23" s="14" t="s">
        <v>986</v>
      </c>
      <c r="D23" s="26" t="s">
        <v>987</v>
      </c>
      <c r="E23" s="14" t="s">
        <v>988</v>
      </c>
    </row>
  </sheetData>
  <autoFilter ref="A1:E23" xr:uid="{00000000-0009-0000-0000-000009000000}"/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00_README</vt:lpstr>
      <vt:lpstr>01_C_죄명</vt:lpstr>
      <vt:lpstr>02_F_요증사실</vt:lpstr>
      <vt:lpstr>03_E_증거항목</vt:lpstr>
      <vt:lpstr>04_A_수집행위</vt:lpstr>
      <vt:lpstr>05_MAP_F-E-A</vt:lpstr>
      <vt:lpstr>06_P_패턴</vt:lpstr>
      <vt:lpstr>07_TAG_태그체계</vt:lpstr>
      <vt:lpstr>08_G_게이트</vt:lpstr>
      <vt:lpstr>09_R_규칙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고희숙</cp:lastModifiedBy>
  <cp:revision>0</cp:revision>
  <dcterms:created xsi:type="dcterms:W3CDTF">2026-08-07T06:40:51Z</dcterms:created>
  <dcterms:modified xsi:type="dcterms:W3CDTF">2026-08-07T06:58:32Z</dcterms:modified>
  <dc:language>en-US</dc:language>
</cp:coreProperties>
</file>